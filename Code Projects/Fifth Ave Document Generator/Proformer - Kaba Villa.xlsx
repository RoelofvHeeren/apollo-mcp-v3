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pppleb/Desktop/Bali Folder/"/>
    </mc:Choice>
  </mc:AlternateContent>
  <xr:revisionPtr revIDLastSave="0" documentId="13_ncr:1_{33EA737E-1C1A-CB4F-A0B2-7A3D0EEFB8AD}" xr6:coauthVersionLast="47" xr6:coauthVersionMax="47" xr10:uidLastSave="{00000000-0000-0000-0000-000000000000}"/>
  <bookViews>
    <workbookView xWindow="0" yWindow="760" windowWidth="34200" windowHeight="21380" activeTab="2" xr2:uid="{91874B37-FC24-4332-AC02-945E168FDDC9}"/>
  </bookViews>
  <sheets>
    <sheet name="Project Summary" sheetId="8" state="hidden" r:id="rId1"/>
    <sheet name="Inputs &amp; Assumptions" sheetId="1" r:id="rId2"/>
    <sheet name="Development Proforma" sheetId="3" r:id="rId3"/>
    <sheet name="Cash Flow" sheetId="14" r:id="rId4"/>
    <sheet name="Sales Detail" sheetId="15" r:id="rId5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2">'Development Proforma'!$A$1:$R$137</definedName>
    <definedName name="_xlnm.Print_Titles" localSheetId="2">'Development Proforma'!$1:$14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2" i="3" l="1"/>
  <c r="I86" i="3"/>
  <c r="H52" i="14"/>
  <c r="U52" i="14" s="1"/>
  <c r="AU52" i="14" s="1"/>
  <c r="AW52" i="14" s="1"/>
  <c r="I79" i="3"/>
  <c r="I78" i="3"/>
  <c r="G26" i="3"/>
  <c r="H26" i="3" s="1"/>
  <c r="F39" i="15"/>
  <c r="F37" i="15"/>
  <c r="F36" i="15"/>
  <c r="F35" i="15"/>
  <c r="C5" i="1"/>
  <c r="H9" i="15"/>
  <c r="W22" i="15"/>
  <c r="I36" i="15"/>
  <c r="I37" i="15"/>
  <c r="I35" i="15"/>
  <c r="G36" i="15"/>
  <c r="G37" i="15"/>
  <c r="G35" i="15"/>
  <c r="D39" i="15"/>
  <c r="AU16" i="14"/>
  <c r="AU17" i="14"/>
  <c r="AU18" i="14"/>
  <c r="AU19" i="14"/>
  <c r="AU21" i="14"/>
  <c r="AU22" i="14"/>
  <c r="AU23" i="14"/>
  <c r="AU24" i="14"/>
  <c r="AU25" i="14"/>
  <c r="AU26" i="14"/>
  <c r="AU27" i="14"/>
  <c r="AU28" i="14"/>
  <c r="AU29" i="14"/>
  <c r="AU30" i="14"/>
  <c r="AU31" i="14"/>
  <c r="AU32" i="14"/>
  <c r="AU33" i="14"/>
  <c r="AU34" i="14"/>
  <c r="AU35" i="14"/>
  <c r="AU38" i="14"/>
  <c r="AU39" i="14"/>
  <c r="AU40" i="14"/>
  <c r="AU41" i="14"/>
  <c r="AU42" i="14"/>
  <c r="AU43" i="14"/>
  <c r="AU45" i="14"/>
  <c r="AW45" i="14" s="1"/>
  <c r="AU47" i="14"/>
  <c r="AW47" i="14" s="1"/>
  <c r="AU48" i="14"/>
  <c r="AW48" i="14" s="1"/>
  <c r="AU49" i="14"/>
  <c r="AW49" i="14" s="1"/>
  <c r="AU50" i="14"/>
  <c r="AW50" i="14" s="1"/>
  <c r="AU51" i="14"/>
  <c r="AW51" i="14" s="1"/>
  <c r="AU56" i="14"/>
  <c r="AW56" i="14" s="1"/>
  <c r="C15" i="14"/>
  <c r="K96" i="3"/>
  <c r="I77" i="3"/>
  <c r="S4" i="15"/>
  <c r="D8" i="15"/>
  <c r="C14" i="3"/>
  <c r="G67" i="3" s="1"/>
  <c r="I67" i="3" s="1"/>
  <c r="I23" i="3"/>
  <c r="J88" i="14"/>
  <c r="K88" i="14"/>
  <c r="L88" i="14"/>
  <c r="N88" i="14"/>
  <c r="D7" i="15"/>
  <c r="J13" i="15"/>
  <c r="Q13" i="15"/>
  <c r="D10" i="15"/>
  <c r="N22" i="15" s="1"/>
  <c r="H96" i="3"/>
  <c r="C17" i="1"/>
  <c r="C6" i="1"/>
  <c r="C9" i="3" s="1"/>
  <c r="I48" i="3"/>
  <c r="N17" i="1"/>
  <c r="M78" i="14"/>
  <c r="N78" i="14"/>
  <c r="C2" i="15"/>
  <c r="C2" i="14"/>
  <c r="K13" i="15"/>
  <c r="L13" i="15"/>
  <c r="M13" i="15"/>
  <c r="N13" i="15"/>
  <c r="O13" i="15"/>
  <c r="P13" i="15"/>
  <c r="R13" i="15"/>
  <c r="S13" i="15"/>
  <c r="T13" i="15"/>
  <c r="U13" i="15"/>
  <c r="V13" i="15"/>
  <c r="W13" i="15"/>
  <c r="X13" i="15"/>
  <c r="Y13" i="15"/>
  <c r="Z13" i="15"/>
  <c r="AA13" i="15"/>
  <c r="AB13" i="15"/>
  <c r="AC13" i="15"/>
  <c r="AD13" i="15"/>
  <c r="AE13" i="15"/>
  <c r="AF13" i="15"/>
  <c r="AG13" i="15"/>
  <c r="AH13" i="15"/>
  <c r="AI13" i="15"/>
  <c r="AJ13" i="15"/>
  <c r="AK13" i="15"/>
  <c r="AL13" i="15"/>
  <c r="AM13" i="15"/>
  <c r="AN13" i="15"/>
  <c r="AO13" i="15"/>
  <c r="AP13" i="15"/>
  <c r="AQ13" i="15"/>
  <c r="AR13" i="15"/>
  <c r="AS13" i="15"/>
  <c r="I39" i="15" l="1"/>
  <c r="H104" i="3" s="1"/>
  <c r="H59" i="3" s="1"/>
  <c r="T22" i="15"/>
  <c r="S22" i="15"/>
  <c r="U22" i="15"/>
  <c r="Q22" i="15"/>
  <c r="V22" i="15"/>
  <c r="R22" i="15"/>
  <c r="M22" i="15"/>
  <c r="P22" i="15"/>
  <c r="Y22" i="15"/>
  <c r="O22" i="15"/>
  <c r="X22" i="15"/>
  <c r="G69" i="3"/>
  <c r="I69" i="3" s="1"/>
  <c r="G68" i="3"/>
  <c r="I68" i="3" s="1"/>
  <c r="G66" i="3"/>
  <c r="I66" i="3" s="1"/>
  <c r="G65" i="3"/>
  <c r="I65" i="3" s="1"/>
  <c r="G64" i="3"/>
  <c r="I64" i="3" s="1"/>
  <c r="G70" i="3"/>
  <c r="I70" i="3" s="1"/>
  <c r="H27" i="3"/>
  <c r="C6" i="3"/>
  <c r="H11" i="3"/>
  <c r="C11" i="1"/>
  <c r="D13" i="1" s="1"/>
  <c r="C11" i="3"/>
  <c r="E8" i="3" s="1"/>
  <c r="H3" i="15"/>
  <c r="O88" i="14"/>
  <c r="P88" i="14"/>
  <c r="Q88" i="14"/>
  <c r="R88" i="14"/>
  <c r="C120" i="3"/>
  <c r="C121" i="3" s="1"/>
  <c r="G87" i="14"/>
  <c r="H75" i="14"/>
  <c r="H29" i="14"/>
  <c r="H28" i="14"/>
  <c r="H105" i="3" l="1"/>
  <c r="H106" i="3" s="1"/>
  <c r="I97" i="3"/>
  <c r="H46" i="14"/>
  <c r="J46" i="14" s="1"/>
  <c r="AU46" i="14" s="1"/>
  <c r="AW46" i="14" s="1"/>
  <c r="M75" i="14"/>
  <c r="M76" i="14" s="1"/>
  <c r="N75" i="14"/>
  <c r="N76" i="14" s="1"/>
  <c r="AN75" i="14"/>
  <c r="AO75" i="14"/>
  <c r="AM75" i="14"/>
  <c r="AL75" i="14"/>
  <c r="C8" i="1"/>
  <c r="C10" i="3" s="1"/>
  <c r="H20" i="14"/>
  <c r="G58" i="3"/>
  <c r="H58" i="3" s="1"/>
  <c r="W88" i="14"/>
  <c r="X88" i="14"/>
  <c r="Y88" i="14"/>
  <c r="Z88" i="14"/>
  <c r="AA88" i="14"/>
  <c r="AB88" i="14"/>
  <c r="AC85" i="14"/>
  <c r="AC88" i="14" s="1"/>
  <c r="AD85" i="14"/>
  <c r="AD88" i="14" s="1"/>
  <c r="AE85" i="14"/>
  <c r="AE88" i="14" s="1"/>
  <c r="AF85" i="14"/>
  <c r="AF88" i="14" s="1"/>
  <c r="AG85" i="14"/>
  <c r="AG88" i="14" s="1"/>
  <c r="AH85" i="14"/>
  <c r="AH88" i="14" s="1"/>
  <c r="AI85" i="14"/>
  <c r="AI88" i="14" s="1"/>
  <c r="AJ85" i="14"/>
  <c r="AJ88" i="14" s="1"/>
  <c r="AK85" i="14"/>
  <c r="AK88" i="14" s="1"/>
  <c r="H80" i="14"/>
  <c r="L78" i="14"/>
  <c r="O78" i="14"/>
  <c r="P78" i="14"/>
  <c r="Q78" i="14"/>
  <c r="R78" i="14"/>
  <c r="P75" i="14"/>
  <c r="L72" i="14"/>
  <c r="O72" i="14"/>
  <c r="P72" i="14"/>
  <c r="Q72" i="14"/>
  <c r="R72" i="14"/>
  <c r="K72" i="14"/>
  <c r="K73" i="14" s="1"/>
  <c r="AT57" i="14"/>
  <c r="AH78" i="14"/>
  <c r="AG78" i="14"/>
  <c r="AF78" i="14"/>
  <c r="AE78" i="14"/>
  <c r="AD78" i="14"/>
  <c r="AC78" i="14"/>
  <c r="AB78" i="14"/>
  <c r="AA78" i="14"/>
  <c r="AW31" i="14"/>
  <c r="H33" i="14"/>
  <c r="H34" i="14"/>
  <c r="H32" i="14"/>
  <c r="H22" i="14"/>
  <c r="H23" i="14"/>
  <c r="H24" i="14"/>
  <c r="H25" i="14"/>
  <c r="H26" i="14"/>
  <c r="H27" i="14"/>
  <c r="H30" i="14"/>
  <c r="H16" i="14"/>
  <c r="H17" i="14"/>
  <c r="H18" i="14"/>
  <c r="H15" i="14"/>
  <c r="M15" i="14" s="1"/>
  <c r="AU15" i="14" s="1"/>
  <c r="H3" i="14"/>
  <c r="I55" i="3"/>
  <c r="I33" i="3"/>
  <c r="R44" i="14" l="1"/>
  <c r="T44" i="14"/>
  <c r="S44" i="14"/>
  <c r="N20" i="14"/>
  <c r="Y20" i="14"/>
  <c r="AW15" i="14"/>
  <c r="W20" i="14"/>
  <c r="U20" i="14"/>
  <c r="X20" i="14"/>
  <c r="Q20" i="14"/>
  <c r="O20" i="14"/>
  <c r="P20" i="14"/>
  <c r="R20" i="14"/>
  <c r="S20" i="14"/>
  <c r="T20" i="14"/>
  <c r="V20" i="14"/>
  <c r="I109" i="3"/>
  <c r="N80" i="14"/>
  <c r="M80" i="14"/>
  <c r="AC44" i="14"/>
  <c r="AB44" i="14"/>
  <c r="AF44" i="14"/>
  <c r="AH44" i="14"/>
  <c r="AE44" i="14"/>
  <c r="Z44" i="14"/>
  <c r="Q44" i="14"/>
  <c r="AG44" i="14"/>
  <c r="AL80" i="14"/>
  <c r="AM80" i="14"/>
  <c r="P44" i="14"/>
  <c r="AD44" i="14"/>
  <c r="AA44" i="14"/>
  <c r="P80" i="14"/>
  <c r="L73" i="14"/>
  <c r="O73" i="14" s="1"/>
  <c r="P73" i="14" s="1"/>
  <c r="Q73" i="14" s="1"/>
  <c r="R73" i="14" s="1"/>
  <c r="AQ57" i="14"/>
  <c r="AR57" i="14"/>
  <c r="AP57" i="14"/>
  <c r="U80" i="14"/>
  <c r="AC80" i="14"/>
  <c r="Y80" i="14"/>
  <c r="AK75" i="14"/>
  <c r="Q80" i="14"/>
  <c r="AG75" i="14"/>
  <c r="AC75" i="14"/>
  <c r="Y75" i="14"/>
  <c r="AK80" i="14"/>
  <c r="U75" i="14"/>
  <c r="AG80" i="14"/>
  <c r="Q75" i="14"/>
  <c r="AE75" i="14"/>
  <c r="W75" i="14"/>
  <c r="AE80" i="14"/>
  <c r="W80" i="14"/>
  <c r="K75" i="14"/>
  <c r="K76" i="14" s="1"/>
  <c r="AD75" i="14"/>
  <c r="V75" i="14"/>
  <c r="K80" i="14"/>
  <c r="AD80" i="14"/>
  <c r="V80" i="14"/>
  <c r="AJ75" i="14"/>
  <c r="AB75" i="14"/>
  <c r="T75" i="14"/>
  <c r="O75" i="14"/>
  <c r="AJ80" i="14"/>
  <c r="AB80" i="14"/>
  <c r="T80" i="14"/>
  <c r="O80" i="14"/>
  <c r="AI75" i="14"/>
  <c r="AA75" i="14"/>
  <c r="S75" i="14"/>
  <c r="AI80" i="14"/>
  <c r="AA80" i="14"/>
  <c r="S80" i="14"/>
  <c r="L80" i="14"/>
  <c r="L75" i="14"/>
  <c r="AH75" i="14"/>
  <c r="Z75" i="14"/>
  <c r="R75" i="14"/>
  <c r="AH80" i="14"/>
  <c r="Z80" i="14"/>
  <c r="R80" i="14"/>
  <c r="AF75" i="14"/>
  <c r="X75" i="14"/>
  <c r="AF80" i="14"/>
  <c r="X80" i="14"/>
  <c r="AW21" i="14"/>
  <c r="AW18" i="14"/>
  <c r="AW22" i="14"/>
  <c r="AW17" i="14"/>
  <c r="AW16" i="14"/>
  <c r="AW43" i="14"/>
  <c r="AW26" i="14"/>
  <c r="AW30" i="14"/>
  <c r="AW23" i="14"/>
  <c r="U44" i="14"/>
  <c r="AW28" i="14"/>
  <c r="AW27" i="14"/>
  <c r="AW29" i="14"/>
  <c r="AW33" i="14"/>
  <c r="AW25" i="14"/>
  <c r="AW41" i="14"/>
  <c r="AW34" i="14"/>
  <c r="AW32" i="14"/>
  <c r="AW24" i="14"/>
  <c r="AU20" i="14" l="1"/>
  <c r="AW20" i="14" s="1"/>
  <c r="L44" i="14"/>
  <c r="K44" i="14"/>
  <c r="O44" i="14"/>
  <c r="AM22" i="15"/>
  <c r="AM19" i="15"/>
  <c r="AL19" i="15"/>
  <c r="AL17" i="15"/>
  <c r="AM17" i="15"/>
  <c r="AL22" i="15"/>
  <c r="I29" i="3"/>
  <c r="L76" i="14"/>
  <c r="O76" i="14"/>
  <c r="H36" i="14"/>
  <c r="H37" i="14"/>
  <c r="Z37" i="14" s="1"/>
  <c r="AW42" i="14"/>
  <c r="AJ17" i="15"/>
  <c r="AJ44" i="14" s="1"/>
  <c r="AJ22" i="15"/>
  <c r="AK17" i="15"/>
  <c r="AK44" i="14" s="1"/>
  <c r="AI22" i="15"/>
  <c r="AI17" i="15"/>
  <c r="AI44" i="14" s="1"/>
  <c r="AK22" i="15"/>
  <c r="AI19" i="15"/>
  <c r="AK19" i="15"/>
  <c r="AJ19" i="15"/>
  <c r="M36" i="14" l="1"/>
  <c r="P36" i="14" s="1"/>
  <c r="H57" i="14"/>
  <c r="Q37" i="14"/>
  <c r="K37" i="14"/>
  <c r="L37" i="14"/>
  <c r="R37" i="14"/>
  <c r="U37" i="14"/>
  <c r="M37" i="14"/>
  <c r="W37" i="14"/>
  <c r="N37" i="14"/>
  <c r="X37" i="14"/>
  <c r="S37" i="14"/>
  <c r="T37" i="14"/>
  <c r="V37" i="14"/>
  <c r="O37" i="14"/>
  <c r="Y37" i="14"/>
  <c r="J37" i="14"/>
  <c r="P37" i="14"/>
  <c r="K78" i="14"/>
  <c r="K79" i="14" s="1"/>
  <c r="AI78" i="14"/>
  <c r="H89" i="3"/>
  <c r="I90" i="3" s="1"/>
  <c r="AW40" i="14"/>
  <c r="P76" i="14"/>
  <c r="I61" i="3"/>
  <c r="O36" i="14" l="1"/>
  <c r="AU37" i="14"/>
  <c r="AW37" i="14" s="1"/>
  <c r="Y36" i="14"/>
  <c r="N36" i="14"/>
  <c r="R36" i="14"/>
  <c r="V36" i="14"/>
  <c r="V57" i="14" s="1"/>
  <c r="S36" i="14"/>
  <c r="Q36" i="14"/>
  <c r="X36" i="14"/>
  <c r="W36" i="14"/>
  <c r="W57" i="14" s="1"/>
  <c r="U36" i="14"/>
  <c r="U57" i="14" s="1"/>
  <c r="T36" i="14"/>
  <c r="AU63" i="14"/>
  <c r="L79" i="14"/>
  <c r="K81" i="14"/>
  <c r="R76" i="14"/>
  <c r="Q76" i="14"/>
  <c r="AL44" i="14"/>
  <c r="AU36" i="14" l="1"/>
  <c r="AW36" i="14" s="1"/>
  <c r="AU44" i="14"/>
  <c r="AW44" i="14" s="1"/>
  <c r="O79" i="14"/>
  <c r="M79" i="14"/>
  <c r="N79" i="14" s="1"/>
  <c r="L81" i="14"/>
  <c r="O57" i="14"/>
  <c r="N57" i="14"/>
  <c r="P57" i="14"/>
  <c r="R57" i="14"/>
  <c r="Q57" i="14"/>
  <c r="S57" i="14"/>
  <c r="L57" i="14"/>
  <c r="K57" i="14"/>
  <c r="AM85" i="14"/>
  <c r="P79" i="14" l="1"/>
  <c r="O81" i="14"/>
  <c r="H76" i="14"/>
  <c r="Q79" i="14" l="1"/>
  <c r="P81" i="14"/>
  <c r="AL57" i="14"/>
  <c r="R79" i="14" l="1"/>
  <c r="R81" i="14" s="1"/>
  <c r="Q81" i="14"/>
  <c r="AL72" i="14"/>
  <c r="AU67" i="14"/>
  <c r="AW67" i="14" s="1"/>
  <c r="S88" i="14" l="1"/>
  <c r="S78" i="14" l="1"/>
  <c r="S79" i="14" s="1"/>
  <c r="S81" i="14" l="1"/>
  <c r="S72" i="14" l="1"/>
  <c r="S73" i="14" s="1"/>
  <c r="S76" i="14" l="1"/>
  <c r="T88" i="14" l="1"/>
  <c r="AM88" i="14"/>
  <c r="M57" i="14" l="1"/>
  <c r="Y57" i="14" l="1"/>
  <c r="AJ57" i="14"/>
  <c r="AC57" i="14"/>
  <c r="AC72" i="14" s="1"/>
  <c r="AB57" i="14"/>
  <c r="AB72" i="14" s="1"/>
  <c r="AD57" i="14"/>
  <c r="AD72" i="14" s="1"/>
  <c r="Z57" i="14"/>
  <c r="AK57" i="14"/>
  <c r="AA57" i="14"/>
  <c r="AA72" i="14" s="1"/>
  <c r="AH57" i="14"/>
  <c r="AH72" i="14" s="1"/>
  <c r="AG57" i="14"/>
  <c r="AG72" i="14" s="1"/>
  <c r="AI57" i="14"/>
  <c r="AI72" i="14" s="1"/>
  <c r="AF57" i="14"/>
  <c r="AF72" i="14" s="1"/>
  <c r="X57" i="14"/>
  <c r="T57" i="14"/>
  <c r="AE57" i="14"/>
  <c r="AE72" i="14" s="1"/>
  <c r="U88" i="14" l="1"/>
  <c r="T72" i="14" l="1"/>
  <c r="V88" i="14"/>
  <c r="T78" i="14"/>
  <c r="T79" i="14" s="1"/>
  <c r="T81" i="14" l="1"/>
  <c r="T73" i="14"/>
  <c r="T76" i="14" l="1"/>
  <c r="AN57" i="14" l="1"/>
  <c r="AM57" i="14" l="1"/>
  <c r="AM72" i="14" l="1"/>
  <c r="H78" i="14" l="1"/>
  <c r="AJ72" i="14" l="1"/>
  <c r="AJ78" i="14"/>
  <c r="Z72" i="14" l="1"/>
  <c r="Z78" i="14"/>
  <c r="AS57" i="14" l="1"/>
  <c r="AO57" i="14"/>
  <c r="AW39" i="14"/>
  <c r="AO72" i="14" l="1"/>
  <c r="AN64" i="14"/>
  <c r="AU64" i="14" l="1"/>
  <c r="H72" i="14" l="1"/>
  <c r="W78" i="14" l="1"/>
  <c r="V78" i="14" l="1"/>
  <c r="AU66" i="14"/>
  <c r="AW66" i="14" s="1"/>
  <c r="U72" i="14"/>
  <c r="U78" i="14"/>
  <c r="U79" i="14" s="1"/>
  <c r="W72" i="14"/>
  <c r="V72" i="14" l="1"/>
  <c r="X78" i="14"/>
  <c r="V79" i="14"/>
  <c r="U81" i="14"/>
  <c r="U73" i="14"/>
  <c r="Y72" i="14" l="1"/>
  <c r="Y78" i="14"/>
  <c r="AW68" i="14"/>
  <c r="V73" i="14"/>
  <c r="U76" i="14"/>
  <c r="V81" i="14"/>
  <c r="W79" i="14"/>
  <c r="X72" i="14"/>
  <c r="AK61" i="14" l="1"/>
  <c r="AK78" i="14"/>
  <c r="X79" i="14"/>
  <c r="W81" i="14"/>
  <c r="W73" i="14"/>
  <c r="V76" i="14"/>
  <c r="AK72" i="14" l="1"/>
  <c r="AU69" i="14"/>
  <c r="AW69" i="14" s="1"/>
  <c r="W76" i="14"/>
  <c r="X73" i="14"/>
  <c r="Y79" i="14"/>
  <c r="X81" i="14"/>
  <c r="X76" i="14" l="1"/>
  <c r="Y73" i="14"/>
  <c r="Z79" i="14"/>
  <c r="Y81" i="14"/>
  <c r="Z81" i="14" l="1"/>
  <c r="AA79" i="14"/>
  <c r="Y76" i="14"/>
  <c r="Z73" i="14"/>
  <c r="Z76" i="14" l="1"/>
  <c r="AA73" i="14"/>
  <c r="AB79" i="14"/>
  <c r="AA81" i="14"/>
  <c r="AC79" i="14" l="1"/>
  <c r="AB81" i="14"/>
  <c r="AB73" i="14"/>
  <c r="AA76" i="14"/>
  <c r="AB76" i="14" l="1"/>
  <c r="AC73" i="14"/>
  <c r="AC81" i="14"/>
  <c r="AD79" i="14"/>
  <c r="AE79" i="14" l="1"/>
  <c r="AD81" i="14"/>
  <c r="AD73" i="14"/>
  <c r="AC76" i="14"/>
  <c r="AE73" i="14" l="1"/>
  <c r="AD76" i="14"/>
  <c r="AF79" i="14"/>
  <c r="AE81" i="14"/>
  <c r="AF81" i="14" l="1"/>
  <c r="AG79" i="14"/>
  <c r="AE76" i="14"/>
  <c r="AF73" i="14"/>
  <c r="AG73" i="14" l="1"/>
  <c r="AF76" i="14"/>
  <c r="AH79" i="14"/>
  <c r="AG81" i="14"/>
  <c r="AH81" i="14" l="1"/>
  <c r="AI79" i="14"/>
  <c r="AH73" i="14"/>
  <c r="AG76" i="14"/>
  <c r="AH76" i="14" l="1"/>
  <c r="AI73" i="14"/>
  <c r="AJ79" i="14"/>
  <c r="AI81" i="14"/>
  <c r="AK79" i="14" l="1"/>
  <c r="AJ81" i="14"/>
  <c r="AJ73" i="14"/>
  <c r="AI76" i="14"/>
  <c r="AJ76" i="14" l="1"/>
  <c r="AK73" i="14"/>
  <c r="AL79" i="14"/>
  <c r="AK81" i="14"/>
  <c r="AM79" i="14" l="1"/>
  <c r="AM81" i="14" s="1"/>
  <c r="AL81" i="14"/>
  <c r="AK76" i="14"/>
  <c r="AL73" i="14"/>
  <c r="AM73" i="14" l="1"/>
  <c r="AL76" i="14"/>
  <c r="AU81" i="14"/>
  <c r="AN72" i="14" l="1"/>
  <c r="AM76" i="14"/>
  <c r="AU76" i="14" s="1"/>
  <c r="AW76" i="14" s="1"/>
  <c r="AU72" i="14" l="1"/>
  <c r="AW72" i="14" s="1"/>
  <c r="AN73" i="14"/>
  <c r="AO73" i="14" s="1"/>
  <c r="H55" i="14"/>
  <c r="J55" i="14"/>
  <c r="J57" i="14"/>
  <c r="AU57" i="14"/>
  <c r="AW57" i="14"/>
  <c r="H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AU61" i="14"/>
  <c r="AW61" i="14"/>
  <c r="H62" i="14"/>
  <c r="AD62" i="14"/>
  <c r="H63" i="14"/>
  <c r="AW63" i="14"/>
  <c r="E65" i="14"/>
  <c r="H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D65" i="14"/>
  <c r="E67" i="14"/>
  <c r="M85" i="14"/>
  <c r="AN85" i="14"/>
  <c r="AN86" i="14"/>
  <c r="AN87" i="14"/>
  <c r="M88" i="14"/>
  <c r="AN88" i="14"/>
  <c r="AL91" i="14"/>
  <c r="AN91" i="14"/>
  <c r="AO91" i="14"/>
  <c r="AL92" i="14"/>
  <c r="AN92" i="14"/>
  <c r="AO92" i="14"/>
  <c r="J94" i="14"/>
  <c r="AD94" i="14"/>
  <c r="E99" i="14"/>
  <c r="I91" i="3"/>
  <c r="I93" i="3"/>
  <c r="I96" i="3"/>
  <c r="I98" i="3"/>
  <c r="I100" i="3"/>
  <c r="I111" i="3"/>
  <c r="I113" i="3"/>
  <c r="I114" i="3"/>
  <c r="I115" i="3"/>
  <c r="I117" i="3"/>
  <c r="I119" i="3"/>
  <c r="I120" i="3"/>
  <c r="I121" i="3"/>
  <c r="I123" i="3"/>
  <c r="I125" i="3"/>
  <c r="I127" i="3"/>
  <c r="K16" i="15"/>
  <c r="M18" i="15"/>
  <c r="N18" i="15"/>
  <c r="O18" i="15"/>
  <c r="P18" i="15"/>
  <c r="Q18" i="15"/>
  <c r="R18" i="15"/>
  <c r="S18" i="15"/>
  <c r="T18" i="15"/>
  <c r="U18" i="15"/>
  <c r="V18" i="15"/>
  <c r="W18" i="15"/>
  <c r="X18" i="15"/>
  <c r="Y18" i="15"/>
  <c r="M19" i="15"/>
  <c r="N19" i="15"/>
  <c r="O19" i="15"/>
  <c r="P19" i="15"/>
  <c r="Q19" i="15"/>
  <c r="R19" i="15"/>
  <c r="S19" i="15"/>
  <c r="T19" i="15"/>
  <c r="U19" i="15"/>
  <c r="V19" i="15"/>
  <c r="W19" i="15"/>
  <c r="X19" i="15"/>
  <c r="Y19" i="15"/>
  <c r="K20" i="15"/>
  <c r="M20" i="15"/>
  <c r="N20" i="15"/>
  <c r="O20" i="15"/>
  <c r="P20" i="15"/>
  <c r="Q20" i="15"/>
  <c r="R20" i="15"/>
  <c r="S20" i="15"/>
  <c r="T20" i="15"/>
  <c r="U20" i="15"/>
  <c r="V20" i="15"/>
  <c r="W20" i="15"/>
  <c r="X20" i="15"/>
  <c r="Y20" i="15"/>
  <c r="A25" i="15" a="1"/>
  <c r="A2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Jamie Renaud, CPA</author>
    <author>tc={AA492054-F581-4FCD-B637-EA25C10F49DA}</author>
  </authors>
  <commentList>
    <comment ref="U52" authorId="0" shapeId="0" xr:uid="{5E065702-6663-48E2-978E-A73CD44B4630}">
      <text>
        <r>
          <rPr>
            <b/>
            <sz val="9"/>
            <color indexed="81"/>
            <rFont val="Tahoma"/>
            <family val="2"/>
          </rPr>
          <t>Ben order furniture: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6" authorId="1" shapeId="0" xr:uid="{AA492054-F581-4FCD-B637-EA25C10F49D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Note have manually adjusted $2,344,901 of deposits that will be released at this point, that have not been previously used of construction costs.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<sst xmlns="http://schemas.openxmlformats.org/spreadsheetml/2006/main" count="272" uniqueCount="202">
  <si>
    <t>Project Summary</t>
  </si>
  <si>
    <t>Inputs &amp; Assumptions</t>
  </si>
  <si>
    <t>Notes</t>
  </si>
  <si>
    <t>Yellow Tabs require inputs</t>
  </si>
  <si>
    <t>Civic Address:</t>
  </si>
  <si>
    <t>Project Name:</t>
  </si>
  <si>
    <t>Units</t>
  </si>
  <si>
    <t>GFA</t>
  </si>
  <si>
    <t>NFA</t>
  </si>
  <si>
    <t>Common</t>
  </si>
  <si>
    <t>Lockers</t>
  </si>
  <si>
    <t>Parking</t>
  </si>
  <si>
    <t>Project Management Fee</t>
  </si>
  <si>
    <t>Marketing</t>
  </si>
  <si>
    <t>Commissions</t>
  </si>
  <si>
    <t>Insurance</t>
  </si>
  <si>
    <t>SALES</t>
  </si>
  <si>
    <t>FIFTH AVENUE  - PROFORMA</t>
  </si>
  <si>
    <t>PROJECT:</t>
  </si>
  <si>
    <t>ADDRESS:</t>
  </si>
  <si>
    <t>Coronation Ave, Kelowna</t>
  </si>
  <si>
    <t>TYPE:</t>
  </si>
  <si>
    <t>Residential</t>
  </si>
  <si>
    <t>Project #:</t>
  </si>
  <si>
    <t>- Net Floor Area (NFA)</t>
  </si>
  <si>
    <t xml:space="preserve"> - Gross Floor Area (GFA)</t>
  </si>
  <si>
    <t>Number of Floors:</t>
  </si>
  <si>
    <t xml:space="preserve">Constrcution: </t>
  </si>
  <si>
    <t>- Common Area/Hall Space</t>
  </si>
  <si>
    <t>SUMMARY OF PROFORMA</t>
  </si>
  <si>
    <t>SITE AREA (SF)</t>
  </si>
  <si>
    <t>BUILDING AREA (SF)</t>
  </si>
  <si>
    <t>DEVELOPMENT BUDGET</t>
  </si>
  <si>
    <t>LAND</t>
  </si>
  <si>
    <t>Property purchase taxes</t>
  </si>
  <si>
    <t>Rezone/Predevelopment Costs</t>
  </si>
  <si>
    <t>Legal Fees</t>
  </si>
  <si>
    <t>CONSTRUCTION COSTS</t>
  </si>
  <si>
    <t>Cost Buildable/Gross sqft</t>
  </si>
  <si>
    <t>Construction Contract - Base Contract</t>
  </si>
  <si>
    <t>Construction Contingency</t>
  </si>
  <si>
    <t>CASH ALLOWANCES</t>
  </si>
  <si>
    <t>CONSULTANTS</t>
  </si>
  <si>
    <t>Architectural Fees</t>
  </si>
  <si>
    <t>Landscape Artictect</t>
  </si>
  <si>
    <t>Structural Engineering</t>
  </si>
  <si>
    <t>Mechanical Engineering</t>
  </si>
  <si>
    <t>Electrical Engineering</t>
  </si>
  <si>
    <t>Civil Engineering</t>
  </si>
  <si>
    <t>Code Consultant</t>
  </si>
  <si>
    <t>Geotechnical Engineering</t>
  </si>
  <si>
    <t>Survey Costs</t>
  </si>
  <si>
    <t>SUBTOTAL</t>
  </si>
  <si>
    <t>MUNICIPAL</t>
  </si>
  <si>
    <t>Rezoning and Developemnt Permit Fees</t>
  </si>
  <si>
    <t>Building Permit fees (if not in construction)</t>
  </si>
  <si>
    <t xml:space="preserve">Other municipal fees </t>
  </si>
  <si>
    <t>CONSULTING</t>
  </si>
  <si>
    <t>SUPPORT SERVICES</t>
  </si>
  <si>
    <t>PROJECT CONTINGENCY</t>
  </si>
  <si>
    <t>TOTAL PROJECT COSTS</t>
  </si>
  <si>
    <t>EQUITY REQUIRED FOR PROJECT</t>
  </si>
  <si>
    <t>CAPITAL STACK</t>
  </si>
  <si>
    <t>PROFITABILITY ANALYSIS</t>
  </si>
  <si>
    <t>NET SALES</t>
  </si>
  <si>
    <t>TOTAL PROJECT COST</t>
  </si>
  <si>
    <t>SALES REVENUES</t>
  </si>
  <si>
    <t>PROJECTED PROFIT ON PROJECT</t>
  </si>
  <si>
    <t>Return on Equity</t>
  </si>
  <si>
    <t>Return on Cost/ROI</t>
  </si>
  <si>
    <t>ASSUMPTIONS</t>
  </si>
  <si>
    <t>Start Date:</t>
  </si>
  <si>
    <t>Development Phase</t>
  </si>
  <si>
    <t>Construction Phase</t>
  </si>
  <si>
    <t>LOAN ADVANCE AND INTEREST CALCULATION</t>
  </si>
  <si>
    <t>FIFTH AVENUE  - CASHFLOW</t>
  </si>
  <si>
    <t>COST SCHEDULE</t>
  </si>
  <si>
    <t>Prime Rate</t>
  </si>
  <si>
    <t>Net Draw</t>
  </si>
  <si>
    <t>Cumulative Draw</t>
  </si>
  <si>
    <t>Cumulative Deposits</t>
  </si>
  <si>
    <t>Net Deposits</t>
  </si>
  <si>
    <t>Borrowing Rate @ prime +</t>
  </si>
  <si>
    <t>Cost of Construction Borrowing</t>
  </si>
  <si>
    <t>Insurance Rate</t>
  </si>
  <si>
    <t>Cost of Deposit Insurance</t>
  </si>
  <si>
    <t>months</t>
  </si>
  <si>
    <t>Total</t>
  </si>
  <si>
    <t>Check</t>
  </si>
  <si>
    <t>Presales</t>
  </si>
  <si>
    <t>Deposit Amount</t>
  </si>
  <si>
    <t>months starting month of construction</t>
  </si>
  <si>
    <t>FIFTH AVENUE  - SALES DETAILS</t>
  </si>
  <si>
    <t>Pre-sales</t>
  </si>
  <si>
    <t>Deposit</t>
  </si>
  <si>
    <t>SALE PLAN</t>
  </si>
  <si>
    <t>Percentage</t>
  </si>
  <si>
    <t>Deposits</t>
  </si>
  <si>
    <t>Pre-Sales Period</t>
  </si>
  <si>
    <t>Recognised on completion</t>
  </si>
  <si>
    <t>BUILDING</t>
  </si>
  <si>
    <t>PRESALES</t>
  </si>
  <si>
    <t>Contract Value</t>
  </si>
  <si>
    <t>Revenue Recognition</t>
  </si>
  <si>
    <t>TOTAL COSTS</t>
  </si>
  <si>
    <t>FINANCIAL</t>
  </si>
  <si>
    <t>IRR CALCULATIONS</t>
  </si>
  <si>
    <t>Investor Cash Flows</t>
  </si>
  <si>
    <t>CONSTRUCTION</t>
  </si>
  <si>
    <t>Construction Cost</t>
  </si>
  <si>
    <t>Construction Fee</t>
  </si>
  <si>
    <t>Site Area</t>
  </si>
  <si>
    <t>DEVELOPMENT</t>
  </si>
  <si>
    <t>Permit and DCC</t>
  </si>
  <si>
    <t>Other consultants</t>
  </si>
  <si>
    <t>Architectural Fees &amp; Consultants</t>
  </si>
  <si>
    <t>LP Preferred Return</t>
  </si>
  <si>
    <t>LP Waterfall</t>
  </si>
  <si>
    <t>Equty and Repayment</t>
  </si>
  <si>
    <t>Profit for distribution</t>
  </si>
  <si>
    <t>LP</t>
  </si>
  <si>
    <t>Cash Check</t>
  </si>
  <si>
    <t>Profit check</t>
  </si>
  <si>
    <t>v</t>
  </si>
  <si>
    <t xml:space="preserve">Due to costs incurred after completion. Per the proforma these are part of the capital stack bnut in reality these are paid out of sales proceeds. </t>
  </si>
  <si>
    <t>GP</t>
  </si>
  <si>
    <t>TBD</t>
  </si>
  <si>
    <t>Residential/Retail</t>
  </si>
  <si>
    <t>Efficiency</t>
  </si>
  <si>
    <t>CRU</t>
  </si>
  <si>
    <t>UNITS</t>
  </si>
  <si>
    <t>- Residential</t>
  </si>
  <si>
    <t>Building Efficiency</t>
  </si>
  <si>
    <t>Not material (error from rounding on finance fees)</t>
  </si>
  <si>
    <t>Cost per Square metre</t>
  </si>
  <si>
    <t>Sale Price per sqr metre</t>
  </si>
  <si>
    <t xml:space="preserve">Cost Buildable/Gross sqr metre </t>
  </si>
  <si>
    <t>Included In construction cost</t>
  </si>
  <si>
    <t>Included in Construction cost</t>
  </si>
  <si>
    <t>PT PMA SETUP</t>
  </si>
  <si>
    <t>Deed Amendment</t>
  </si>
  <si>
    <t>Villa Licensing</t>
  </si>
  <si>
    <t>NPWPD Registration</t>
  </si>
  <si>
    <t>Annual Legal Compliance</t>
  </si>
  <si>
    <t>Legal Due Diligence</t>
  </si>
  <si>
    <t>Notary Fees – 1%</t>
  </si>
  <si>
    <t>Number of units</t>
  </si>
  <si>
    <t>Cost per unit</t>
  </si>
  <si>
    <t>Furnishing costs</t>
  </si>
  <si>
    <t>Furnitures</t>
  </si>
  <si>
    <t>Concrete</t>
  </si>
  <si>
    <t>2 beds</t>
  </si>
  <si>
    <t xml:space="preserve">3 beds </t>
  </si>
  <si>
    <t xml:space="preserve">4 beds </t>
  </si>
  <si>
    <t xml:space="preserve">Cost per unit </t>
  </si>
  <si>
    <t>(Fixed Rate)</t>
  </si>
  <si>
    <t>(RBD Bare construction risk)</t>
  </si>
  <si>
    <t xml:space="preserve">Pre Sales </t>
  </si>
  <si>
    <t>Net Revenue</t>
  </si>
  <si>
    <t>Number of Pre sales (BC)</t>
  </si>
  <si>
    <t>Gross Revenue</t>
  </si>
  <si>
    <t>Brokers Fees</t>
  </si>
  <si>
    <t xml:space="preserve">Months </t>
  </si>
  <si>
    <t>Total Cost</t>
  </si>
  <si>
    <t xml:space="preserve">Total Legal Fee's </t>
  </si>
  <si>
    <t>Seseh Project</t>
  </si>
  <si>
    <t xml:space="preserve">Seseh - Bali </t>
  </si>
  <si>
    <t>Furniture</t>
  </si>
  <si>
    <t>Final Sales</t>
  </si>
  <si>
    <t>Discounted</t>
  </si>
  <si>
    <t>Total LP Profit</t>
  </si>
  <si>
    <t>ROI</t>
  </si>
  <si>
    <t>15% of Pre-sale</t>
  </si>
  <si>
    <t>Construction Start (10%)</t>
  </si>
  <si>
    <t>Second Option</t>
  </si>
  <si>
    <t>Monthly Payments</t>
  </si>
  <si>
    <t>Land Cost</t>
  </si>
  <si>
    <t>SOURCE OF FUNDS</t>
  </si>
  <si>
    <t>Deposits/Sales Proceeds needed for Financing</t>
  </si>
  <si>
    <t>Residual Sales</t>
  </si>
  <si>
    <t>Project Cash Flow</t>
  </si>
  <si>
    <t>Equity</t>
  </si>
  <si>
    <t>Unit Mix</t>
  </si>
  <si>
    <t>2 bedrooms</t>
  </si>
  <si>
    <t>3 bedrooms</t>
  </si>
  <si>
    <t>4 bedrooms</t>
  </si>
  <si>
    <t>Unit Sqr m</t>
  </si>
  <si>
    <t>Total Sqr m</t>
  </si>
  <si>
    <t xml:space="preserve">price per sqr m </t>
  </si>
  <si>
    <t>price per unit</t>
  </si>
  <si>
    <t xml:space="preserve">Capital Raise Fee </t>
  </si>
  <si>
    <t>Total Revenue</t>
  </si>
  <si>
    <t>Capital Fees</t>
  </si>
  <si>
    <t>Capital Raise Fee</t>
  </si>
  <si>
    <t>Comissions</t>
  </si>
  <si>
    <t>Commissions (percentage)</t>
  </si>
  <si>
    <t>Pre Sales Revenue after coms</t>
  </si>
  <si>
    <t xml:space="preserve">LP IRR over 20 months </t>
  </si>
  <si>
    <t>65% of pre sales done before construction</t>
  </si>
  <si>
    <t>Monthly Payments (6.8%)</t>
  </si>
  <si>
    <t>LP Fixed Return</t>
  </si>
  <si>
    <t>sold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</si>
</sst>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-* #,##0_-;\-* #,##0_-;_-* &quot;-&quot;??_-;_-@_-"/>
    <numFmt numFmtId="168" formatCode="0.0%"/>
    <numFmt numFmtId="169" formatCode="[$-409]mmm\-yy;@"/>
    <numFmt numFmtId="170" formatCode="_-&quot;$&quot;* #,##0_-;\-&quot;$&quot;* #,##0_-;_-&quot;$&quot;* &quot;-&quot;??_-;_-@_-"/>
    <numFmt numFmtId="171" formatCode="[$$-409]#,##0.00"/>
    <numFmt numFmtId="172" formatCode="0.000"/>
    <numFmt numFmtId="173" formatCode="[$$-409]#,##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gray0625">
        <fgColor auto="1"/>
        <bgColor theme="9" tint="0.79998168889431442"/>
      </patternFill>
    </fill>
    <fill>
      <patternFill patternType="gray0625">
        <fgColor auto="1"/>
      </patternFill>
    </fill>
    <fill>
      <patternFill patternType="solid">
        <fgColor theme="2" tint="-9.9978637043366805E-2"/>
        <bgColor indexed="64"/>
      </patternFill>
    </fill>
    <fill>
      <patternFill patternType="gray0625">
        <fgColor auto="1"/>
        <bgColor theme="2" tint="-9.9978637043366805E-2"/>
      </patternFill>
    </fill>
    <fill>
      <patternFill patternType="gray0625">
        <fgColor auto="1"/>
        <bgColor theme="8" tint="0.59999389629810485"/>
      </patternFill>
    </fill>
    <fill>
      <patternFill patternType="solid">
        <fgColor theme="8" tint="0.59999389629810485"/>
        <bgColor indexed="64"/>
      </patternFill>
    </fill>
    <fill>
      <patternFill patternType="gray0625">
        <fgColor auto="1"/>
        <bgColor theme="7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gray0625">
        <fgColor theme="1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6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</cellStyleXfs>
  <cellXfs count="110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9" fontId="0" fillId="0" borderId="0" xfId="0" applyNumberFormat="1"/>
    <xf numFmtId="167" fontId="0" fillId="0" borderId="0" xfId="1" applyNumberFormat="1" applyFont="1"/>
    <xf numFmtId="0" fontId="0" fillId="0" borderId="0" xfId="0" applyAlignment="1">
      <alignment horizontal="right"/>
    </xf>
    <xf numFmtId="10" fontId="0" fillId="0" borderId="0" xfId="0" applyNumberFormat="1"/>
    <xf numFmtId="0" fontId="6" fillId="4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vertical="center"/>
    </xf>
    <xf numFmtId="0" fontId="7" fillId="4" borderId="5" xfId="0" applyFont="1" applyFill="1" applyBorder="1" applyAlignment="1">
      <alignment horizontal="right" vertical="center"/>
    </xf>
    <xf numFmtId="0" fontId="0" fillId="3" borderId="0" xfId="0" applyFill="1"/>
    <xf numFmtId="0" fontId="0" fillId="0" borderId="4" xfId="0" applyBorder="1"/>
    <xf numFmtId="0" fontId="0" fillId="0" borderId="2" xfId="0" applyBorder="1"/>
    <xf numFmtId="0" fontId="0" fillId="0" borderId="1" xfId="0" applyBorder="1"/>
    <xf numFmtId="0" fontId="0" fillId="5" borderId="3" xfId="0" applyFill="1" applyBorder="1"/>
    <xf numFmtId="0" fontId="0" fillId="6" borderId="2" xfId="0" applyFill="1" applyBorder="1" applyAlignment="1">
      <alignment horizontal="center" vertical="center"/>
    </xf>
    <xf numFmtId="0" fontId="0" fillId="6" borderId="2" xfId="0" applyFill="1" applyBorder="1"/>
    <xf numFmtId="167" fontId="0" fillId="6" borderId="2" xfId="1" applyNumberFormat="1" applyFont="1" applyFill="1" applyBorder="1"/>
    <xf numFmtId="0" fontId="0" fillId="6" borderId="1" xfId="0" applyFill="1" applyBorder="1"/>
    <xf numFmtId="167" fontId="0" fillId="0" borderId="0" xfId="1" applyNumberFormat="1" applyFont="1" applyBorder="1"/>
    <xf numFmtId="0" fontId="0" fillId="0" borderId="0" xfId="0" quotePrefix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/>
    </xf>
    <xf numFmtId="0" fontId="0" fillId="0" borderId="6" xfId="0" applyBorder="1"/>
    <xf numFmtId="167" fontId="0" fillId="0" borderId="6" xfId="1" applyNumberFormat="1" applyFont="1" applyBorder="1"/>
    <xf numFmtId="0" fontId="8" fillId="0" borderId="6" xfId="0" applyFont="1" applyBorder="1"/>
    <xf numFmtId="0" fontId="0" fillId="7" borderId="0" xfId="0" applyFill="1"/>
    <xf numFmtId="0" fontId="2" fillId="7" borderId="0" xfId="0" applyFont="1" applyFill="1"/>
    <xf numFmtId="0" fontId="0" fillId="8" borderId="3" xfId="0" applyFill="1" applyBorder="1"/>
    <xf numFmtId="0" fontId="0" fillId="9" borderId="3" xfId="0" applyFill="1" applyBorder="1"/>
    <xf numFmtId="0" fontId="0" fillId="10" borderId="0" xfId="0" applyFill="1"/>
    <xf numFmtId="0" fontId="0" fillId="11" borderId="3" xfId="0" applyFill="1" applyBorder="1"/>
    <xf numFmtId="0" fontId="0" fillId="12" borderId="0" xfId="0" applyFill="1"/>
    <xf numFmtId="0" fontId="2" fillId="0" borderId="0" xfId="0" applyFont="1" applyAlignment="1">
      <alignment horizontal="right"/>
    </xf>
    <xf numFmtId="9" fontId="0" fillId="0" borderId="0" xfId="7" applyFont="1"/>
    <xf numFmtId="167" fontId="0" fillId="0" borderId="0" xfId="1" applyNumberFormat="1" applyFont="1" applyFill="1"/>
    <xf numFmtId="167" fontId="0" fillId="0" borderId="6" xfId="1" applyNumberFormat="1" applyFont="1" applyFill="1" applyBorder="1"/>
    <xf numFmtId="15" fontId="0" fillId="0" borderId="0" xfId="0" applyNumberFormat="1"/>
    <xf numFmtId="0" fontId="0" fillId="0" borderId="7" xfId="0" applyBorder="1"/>
    <xf numFmtId="0" fontId="0" fillId="5" borderId="8" xfId="0" applyFill="1" applyBorder="1"/>
    <xf numFmtId="0" fontId="0" fillId="6" borderId="6" xfId="0" applyFill="1" applyBorder="1" applyAlignment="1">
      <alignment horizontal="center" vertical="center"/>
    </xf>
    <xf numFmtId="0" fontId="0" fillId="6" borderId="6" xfId="0" applyFill="1" applyBorder="1"/>
    <xf numFmtId="167" fontId="0" fillId="6" borderId="6" xfId="1" applyNumberFormat="1" applyFont="1" applyFill="1" applyBorder="1"/>
    <xf numFmtId="0" fontId="0" fillId="3" borderId="4" xfId="0" applyFill="1" applyBorder="1"/>
    <xf numFmtId="167" fontId="0" fillId="0" borderId="4" xfId="1" applyNumberFormat="1" applyFont="1" applyBorder="1"/>
    <xf numFmtId="169" fontId="9" fillId="13" borderId="0" xfId="8" applyNumberFormat="1" applyFont="1" applyFill="1" applyAlignment="1" applyProtection="1">
      <alignment horizontal="center"/>
      <protection locked="0"/>
    </xf>
    <xf numFmtId="0" fontId="0" fillId="11" borderId="7" xfId="0" applyFill="1" applyBorder="1"/>
    <xf numFmtId="0" fontId="0" fillId="6" borderId="7" xfId="0" applyFill="1" applyBorder="1"/>
    <xf numFmtId="167" fontId="0" fillId="6" borderId="7" xfId="1" applyNumberFormat="1" applyFont="1" applyFill="1" applyBorder="1"/>
    <xf numFmtId="0" fontId="0" fillId="14" borderId="7" xfId="0" applyFill="1" applyBorder="1"/>
    <xf numFmtId="167" fontId="0" fillId="0" borderId="7" xfId="1" applyNumberFormat="1" applyFont="1" applyBorder="1"/>
    <xf numFmtId="167" fontId="0" fillId="14" borderId="7" xfId="1" applyNumberFormat="1" applyFont="1" applyFill="1" applyBorder="1"/>
    <xf numFmtId="9" fontId="0" fillId="2" borderId="0" xfId="0" applyNumberFormat="1" applyFill="1"/>
    <xf numFmtId="0" fontId="0" fillId="0" borderId="0" xfId="0" applyAlignment="1">
      <alignment vertical="center"/>
    </xf>
    <xf numFmtId="170" fontId="0" fillId="0" borderId="0" xfId="9" applyNumberFormat="1" applyFont="1"/>
    <xf numFmtId="170" fontId="0" fillId="0" borderId="0" xfId="0" applyNumberFormat="1"/>
    <xf numFmtId="165" fontId="0" fillId="0" borderId="0" xfId="0" applyNumberFormat="1"/>
    <xf numFmtId="9" fontId="0" fillId="2" borderId="0" xfId="7" applyFont="1" applyFill="1"/>
    <xf numFmtId="168" fontId="0" fillId="0" borderId="0" xfId="0" applyNumberFormat="1"/>
    <xf numFmtId="168" fontId="0" fillId="2" borderId="0" xfId="7" applyNumberFormat="1" applyFont="1" applyFill="1"/>
    <xf numFmtId="168" fontId="0" fillId="0" borderId="0" xfId="7" applyNumberFormat="1" applyFont="1"/>
    <xf numFmtId="167" fontId="0" fillId="0" borderId="9" xfId="0" applyNumberFormat="1" applyBorder="1"/>
    <xf numFmtId="167" fontId="0" fillId="0" borderId="6" xfId="0" applyNumberFormat="1" applyBorder="1"/>
    <xf numFmtId="166" fontId="0" fillId="0" borderId="0" xfId="1" applyFont="1"/>
    <xf numFmtId="167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wrapText="1"/>
    </xf>
    <xf numFmtId="167" fontId="2" fillId="0" borderId="0" xfId="1" applyNumberFormat="1" applyFont="1" applyFill="1"/>
    <xf numFmtId="167" fontId="2" fillId="0" borderId="0" xfId="0" applyNumberFormat="1" applyFont="1"/>
    <xf numFmtId="170" fontId="0" fillId="0" borderId="0" xfId="9" applyNumberFormat="1" applyFont="1" applyFill="1"/>
    <xf numFmtId="170" fontId="0" fillId="0" borderId="0" xfId="9" applyNumberFormat="1" applyFont="1" applyAlignment="1">
      <alignment horizontal="center"/>
    </xf>
    <xf numFmtId="1" fontId="0" fillId="0" borderId="0" xfId="0" applyNumberFormat="1"/>
    <xf numFmtId="9" fontId="0" fillId="0" borderId="0" xfId="7" applyFont="1" applyBorder="1"/>
    <xf numFmtId="10" fontId="0" fillId="0" borderId="0" xfId="7" applyNumberFormat="1" applyFont="1"/>
    <xf numFmtId="168" fontId="0" fillId="15" borderId="0" xfId="0" applyNumberFormat="1" applyFill="1"/>
    <xf numFmtId="166" fontId="0" fillId="0" borderId="0" xfId="0" applyNumberFormat="1" applyAlignment="1">
      <alignment horizontal="center"/>
    </xf>
    <xf numFmtId="0" fontId="0" fillId="0" borderId="0" xfId="1" applyNumberFormat="1" applyFont="1" applyFill="1"/>
    <xf numFmtId="43" fontId="0" fillId="0" borderId="0" xfId="0" applyNumberFormat="1"/>
    <xf numFmtId="2" fontId="0" fillId="0" borderId="0" xfId="0" applyNumberFormat="1"/>
    <xf numFmtId="171" fontId="0" fillId="0" borderId="0" xfId="0" applyNumberFormat="1"/>
    <xf numFmtId="172" fontId="0" fillId="0" borderId="0" xfId="0" applyNumberFormat="1"/>
    <xf numFmtId="166" fontId="0" fillId="12" borderId="0" xfId="1" applyFont="1" applyFill="1"/>
    <xf numFmtId="166" fontId="0" fillId="10" borderId="0" xfId="1" applyFont="1" applyFill="1"/>
    <xf numFmtId="0" fontId="2" fillId="3" borderId="0" xfId="0" applyFont="1" applyFill="1"/>
    <xf numFmtId="167" fontId="2" fillId="0" borderId="0" xfId="1" applyNumberFormat="1" applyFont="1" applyFill="1" applyBorder="1"/>
    <xf numFmtId="167" fontId="2" fillId="0" borderId="0" xfId="1" applyNumberFormat="1" applyFont="1"/>
    <xf numFmtId="9" fontId="8" fillId="0" borderId="0" xfId="0" applyNumberFormat="1" applyFont="1"/>
    <xf numFmtId="0" fontId="0" fillId="0" borderId="10" xfId="0" applyBorder="1"/>
    <xf numFmtId="171" fontId="0" fillId="0" borderId="10" xfId="0" applyNumberFormat="1" applyBorder="1"/>
    <xf numFmtId="173" fontId="0" fillId="0" borderId="0" xfId="0" applyNumberFormat="1"/>
    <xf numFmtId="173" fontId="0" fillId="0" borderId="0" xfId="9" applyNumberFormat="1" applyFont="1"/>
    <xf numFmtId="173" fontId="0" fillId="0" borderId="0" xfId="1" applyNumberFormat="1" applyFont="1" applyFill="1" applyBorder="1"/>
    <xf numFmtId="173" fontId="0" fillId="0" borderId="0" xfId="1" applyNumberFormat="1" applyFont="1"/>
    <xf numFmtId="173" fontId="0" fillId="0" borderId="0" xfId="1" applyNumberFormat="1" applyFont="1" applyAlignment="1">
      <alignment horizontal="center"/>
    </xf>
    <xf numFmtId="173" fontId="0" fillId="0" borderId="0" xfId="1" applyNumberFormat="1" applyFont="1" applyBorder="1"/>
    <xf numFmtId="173" fontId="2" fillId="0" borderId="0" xfId="1" applyNumberFormat="1" applyFont="1" applyFill="1" applyBorder="1"/>
    <xf numFmtId="173" fontId="2" fillId="0" borderId="0" xfId="0" applyNumberFormat="1" applyFont="1"/>
    <xf numFmtId="173" fontId="0" fillId="0" borderId="4" xfId="1" applyNumberFormat="1" applyFont="1" applyBorder="1"/>
    <xf numFmtId="173" fontId="0" fillId="0" borderId="4" xfId="0" applyNumberFormat="1" applyBorder="1"/>
    <xf numFmtId="173" fontId="0" fillId="6" borderId="7" xfId="1" applyNumberFormat="1" applyFont="1" applyFill="1" applyBorder="1"/>
    <xf numFmtId="173" fontId="0" fillId="6" borderId="7" xfId="0" applyNumberFormat="1" applyFill="1" applyBorder="1"/>
    <xf numFmtId="9" fontId="0" fillId="0" borderId="10" xfId="0" applyNumberFormat="1" applyBorder="1"/>
    <xf numFmtId="0" fontId="0" fillId="0" borderId="10" xfId="0" applyBorder="1" applyAlignment="1">
      <alignment vertical="center"/>
    </xf>
    <xf numFmtId="168" fontId="0" fillId="0" borderId="10" xfId="0" applyNumberFormat="1" applyBorder="1"/>
    <xf numFmtId="0" fontId="6" fillId="4" borderId="5" xfId="0" applyFont="1" applyFill="1" applyBorder="1" applyAlignment="1">
      <alignment horizontal="center" vertical="center"/>
    </xf>
    <xf numFmtId="173" fontId="0" fillId="6" borderId="7" xfId="1" applyNumberFormat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0">
    <cellStyle name="Comma" xfId="1" builtinId="3"/>
    <cellStyle name="Comma 2 2" xfId="5" xr:uid="{35AEE8F5-E927-4F98-B9B9-2DAB1577A85B}"/>
    <cellStyle name="Currency" xfId="9" builtinId="4"/>
    <cellStyle name="Currency 2" xfId="3" xr:uid="{28DC7243-9CE1-4F2B-90FC-4518B57457D6}"/>
    <cellStyle name="Normal" xfId="0" builtinId="0"/>
    <cellStyle name="Normal 2" xfId="2" xr:uid="{9B5865ED-F722-4099-94BF-51134E4DEAFF}"/>
    <cellStyle name="Normal 2 2" xfId="8" xr:uid="{D25AEAB9-F260-4F18-85AF-AE11AFCE703C}"/>
    <cellStyle name="Per cent" xfId="7" builtinId="5"/>
    <cellStyle name="Percent 2" xfId="4" xr:uid="{9D39FD8E-171A-45FD-875B-3F2B6D8DBC34}"/>
    <cellStyle name="Percent 2 2" xfId="6" xr:uid="{6343EE11-6F4C-4EDB-A0E3-F2E433363C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486640</xdr:colOff>
      <xdr:row>0</xdr:row>
      <xdr:rowOff>17318</xdr:rowOff>
    </xdr:from>
    <xdr:to>
      <xdr:col>9</xdr:col>
      <xdr:colOff>223981</xdr:colOff>
      <xdr:row>9</xdr:row>
      <xdr:rowOff>33372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71A23A-A463-4EC5-87FB-BD9461117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3913" y="17318"/>
          <a:ext cx="1256434" cy="1934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936625</xdr:colOff>
      <xdr:row>0</xdr:row>
      <xdr:rowOff>0</xdr:rowOff>
    </xdr:from>
    <xdr:to>
      <xdr:col>12</xdr:col>
      <xdr:colOff>1743</xdr:colOff>
      <xdr:row>8</xdr:row>
      <xdr:rowOff>148589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A7584-B906-45EB-AD5B-B0EEF431E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68025" y="0"/>
          <a:ext cx="1484538" cy="1768474"/>
        </a:xfrm>
        <a:prstGeom prst="rect">
          <a:avLst/>
        </a:prstGeom>
      </xdr:spPr>
    </xdr:pic>
    <xdr:clientData/>
  </xdr:twoCellAnchor>
  <xdr:twoCellAnchor>
    <xdr:from>
      <xdr:col>12</xdr:col>
      <xdr:colOff>1364486</xdr:colOff>
      <xdr:row>5</xdr:row>
      <xdr:rowOff>14943</xdr:rowOff>
    </xdr:from>
    <xdr:to>
      <xdr:col>14</xdr:col>
      <xdr:colOff>660039</xdr:colOff>
      <xdr:row>89</xdr:row>
      <xdr:rowOff>74264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A568AF0-35BC-3D52-B112-A183F7C9981C}"/>
            </a:ext>
          </a:extLst>
        </xdr:cNvPr>
        <xdr:cNvGrpSpPr/>
      </xdr:nvGrpSpPr>
      <xdr:grpSpPr>
        <a:xfrm>
          <a:off x="14149153" y="1094443"/>
          <a:ext cx="1877886" cy="10325154"/>
          <a:chOff x="15178346" y="1329578"/>
          <a:chExt cx="1302145" cy="17022856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E650C1AF-7A2E-0749-D655-46E77A8FE7D1}"/>
              </a:ext>
            </a:extLst>
          </xdr:cNvPr>
          <xdr:cNvCxnSpPr/>
        </xdr:nvCxnSpPr>
        <xdr:spPr>
          <a:xfrm>
            <a:off x="15178346" y="1729956"/>
            <a:ext cx="0" cy="1605130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2DDCE49-DC1E-3FB8-D952-10573674EEC3}"/>
              </a:ext>
            </a:extLst>
          </xdr:cNvPr>
          <xdr:cNvSpPr txBox="1"/>
        </xdr:nvSpPr>
        <xdr:spPr>
          <a:xfrm>
            <a:off x="15183971" y="17866659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Start</a:t>
            </a:r>
          </a:p>
          <a:p>
            <a:endParaRPr lang="en-CA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8C4BCD0-E02F-4EBB-8531-1A7105F07552}"/>
              </a:ext>
            </a:extLst>
          </xdr:cNvPr>
          <xdr:cNvSpPr txBox="1"/>
        </xdr:nvSpPr>
        <xdr:spPr>
          <a:xfrm>
            <a:off x="15183971" y="1329578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Start</a:t>
            </a:r>
          </a:p>
          <a:p>
            <a:endParaRPr lang="en-CA" sz="1100"/>
          </a:p>
        </xdr:txBody>
      </xdr:sp>
    </xdr:grpSp>
    <xdr:clientData/>
  </xdr:twoCellAnchor>
  <xdr:twoCellAnchor>
    <xdr:from>
      <xdr:col>24</xdr:col>
      <xdr:colOff>1041200</xdr:colOff>
      <xdr:row>5</xdr:row>
      <xdr:rowOff>28355</xdr:rowOff>
    </xdr:from>
    <xdr:to>
      <xdr:col>26</xdr:col>
      <xdr:colOff>660520</xdr:colOff>
      <xdr:row>89</xdr:row>
      <xdr:rowOff>94702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9E9F206A-7913-4F06-A46E-EAA1AD9DB097}"/>
            </a:ext>
          </a:extLst>
        </xdr:cNvPr>
        <xdr:cNvGrpSpPr/>
      </xdr:nvGrpSpPr>
      <xdr:grpSpPr>
        <a:xfrm>
          <a:off x="27795867" y="1107855"/>
          <a:ext cx="1693653" cy="10332180"/>
          <a:chOff x="15183971" y="1329578"/>
          <a:chExt cx="1296520" cy="17022856"/>
        </a:xfrm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F231E5EA-BE93-6806-355D-FCABF45FC64F}"/>
              </a:ext>
            </a:extLst>
          </xdr:cNvPr>
          <xdr:cNvCxnSpPr/>
        </xdr:nvCxnSpPr>
        <xdr:spPr>
          <a:xfrm>
            <a:off x="15187172" y="1816954"/>
            <a:ext cx="0" cy="1605130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C70B52B4-F3D3-89BA-1A72-37453D8DFFAA}"/>
              </a:ext>
            </a:extLst>
          </xdr:cNvPr>
          <xdr:cNvSpPr txBox="1"/>
        </xdr:nvSpPr>
        <xdr:spPr>
          <a:xfrm>
            <a:off x="15183971" y="17866659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Completion</a:t>
            </a:r>
          </a:p>
          <a:p>
            <a:endParaRPr lang="en-CA" sz="1100"/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DDFB4C1D-FBD6-AC02-6485-6913C5CD6E04}"/>
              </a:ext>
            </a:extLst>
          </xdr:cNvPr>
          <xdr:cNvSpPr txBox="1"/>
        </xdr:nvSpPr>
        <xdr:spPr>
          <a:xfrm>
            <a:off x="15183971" y="1329578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Completion</a:t>
            </a:r>
          </a:p>
          <a:p>
            <a:endParaRPr lang="en-CA" sz="1100"/>
          </a:p>
          <a:p>
            <a:endParaRPr lang="en-CA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650933</xdr:colOff>
      <xdr:row>0</xdr:row>
      <xdr:rowOff>0</xdr:rowOff>
    </xdr:from>
    <xdr:to>
      <xdr:col>10</xdr:col>
      <xdr:colOff>908017</xdr:colOff>
      <xdr:row>9</xdr:row>
      <xdr:rowOff>41909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31ABC0-6BFB-4EA4-AFDC-77924E4FD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86438" y="0"/>
          <a:ext cx="1445437" cy="1830285"/>
        </a:xfrm>
        <a:prstGeom prst="rect">
          <a:avLst/>
        </a:prstGeom>
      </xdr:spPr>
    </xdr:pic>
    <xdr:clientData/>
  </xdr:twoCellAnchor>
  <xdr:twoCellAnchor>
    <xdr:from>
      <xdr:col>12</xdr:col>
      <xdr:colOff>1103148</xdr:colOff>
      <xdr:row>5</xdr:row>
      <xdr:rowOff>175538</xdr:rowOff>
    </xdr:from>
    <xdr:to>
      <xdr:col>16</xdr:col>
      <xdr:colOff>544325</xdr:colOff>
      <xdr:row>97</xdr:row>
      <xdr:rowOff>43682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1296F05-765E-4863-A789-5433BFB13547}"/>
            </a:ext>
          </a:extLst>
        </xdr:cNvPr>
        <xdr:cNvGrpSpPr/>
      </xdr:nvGrpSpPr>
      <xdr:grpSpPr>
        <a:xfrm>
          <a:off x="13362881" y="1225405"/>
          <a:ext cx="3539044" cy="17360277"/>
          <a:chOff x="15183971" y="1329578"/>
          <a:chExt cx="1296520" cy="17022856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46446BC0-57D2-7E7E-8893-56760C0B0BFA}"/>
              </a:ext>
            </a:extLst>
          </xdr:cNvPr>
          <xdr:cNvCxnSpPr/>
        </xdr:nvCxnSpPr>
        <xdr:spPr>
          <a:xfrm>
            <a:off x="15187172" y="1816954"/>
            <a:ext cx="0" cy="1605130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E74BCFB0-79AD-F720-80CF-065E9A30AFB9}"/>
              </a:ext>
            </a:extLst>
          </xdr:cNvPr>
          <xdr:cNvSpPr txBox="1"/>
        </xdr:nvSpPr>
        <xdr:spPr>
          <a:xfrm>
            <a:off x="15183971" y="17866659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Start</a:t>
            </a:r>
          </a:p>
          <a:p>
            <a:endParaRPr lang="en-CA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289126F-6F70-AE5E-D350-B956DC52627D}"/>
              </a:ext>
            </a:extLst>
          </xdr:cNvPr>
          <xdr:cNvSpPr txBox="1"/>
        </xdr:nvSpPr>
        <xdr:spPr>
          <a:xfrm>
            <a:off x="15183971" y="1329578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Start</a:t>
            </a:r>
          </a:p>
          <a:p>
            <a:endParaRPr lang="en-CA" sz="1100"/>
          </a:p>
        </xdr:txBody>
      </xdr:sp>
    </xdr:grpSp>
    <xdr:clientData/>
  </xdr:twoCellAnchor>
  <xdr:twoCellAnchor>
    <xdr:from>
      <xdr:col>25</xdr:col>
      <xdr:colOff>12692</xdr:colOff>
      <xdr:row>4</xdr:row>
      <xdr:rowOff>0</xdr:rowOff>
    </xdr:from>
    <xdr:to>
      <xdr:col>30</xdr:col>
      <xdr:colOff>39213</xdr:colOff>
      <xdr:row>95</xdr:row>
      <xdr:rowOff>46131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96C2B16-277C-4306-914A-12F46655139C}"/>
            </a:ext>
          </a:extLst>
        </xdr:cNvPr>
        <xdr:cNvGrpSpPr/>
      </xdr:nvGrpSpPr>
      <xdr:grpSpPr>
        <a:xfrm>
          <a:off x="25802159" y="846667"/>
          <a:ext cx="2769721" cy="17368931"/>
          <a:chOff x="15183971" y="1329578"/>
          <a:chExt cx="1296521" cy="17022856"/>
        </a:xfrm>
      </xdr:grpSpPr>
      <xdr:cxnSp macro="">
        <xdr:nvCxnSpPr>
          <xdr:cNvPr id="8" name="Straight Connector 7">
            <a:extLst>
              <a:ext uri="{FF2B5EF4-FFF2-40B4-BE49-F238E27FC236}">
                <a16:creationId xmlns:a16="http://schemas.microsoft.com/office/drawing/2014/main" id="{8E6D350B-BCCB-87DE-9185-5355B3AB43C7}"/>
              </a:ext>
            </a:extLst>
          </xdr:cNvPr>
          <xdr:cNvCxnSpPr/>
        </xdr:nvCxnSpPr>
        <xdr:spPr>
          <a:xfrm>
            <a:off x="15187172" y="1816954"/>
            <a:ext cx="0" cy="16051306"/>
          </a:xfrm>
          <a:prstGeom prst="line">
            <a:avLst/>
          </a:prstGeom>
          <a:ln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807C9A46-E1F7-CA06-33EB-052F95571B33}"/>
              </a:ext>
            </a:extLst>
          </xdr:cNvPr>
          <xdr:cNvSpPr txBox="1"/>
        </xdr:nvSpPr>
        <xdr:spPr>
          <a:xfrm>
            <a:off x="15183971" y="17866659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Completion</a:t>
            </a:r>
          </a:p>
          <a:p>
            <a:endParaRPr lang="en-CA" sz="1100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8353465-B51E-E09B-5EFC-029E34C68521}"/>
              </a:ext>
            </a:extLst>
          </xdr:cNvPr>
          <xdr:cNvSpPr txBox="1"/>
        </xdr:nvSpPr>
        <xdr:spPr>
          <a:xfrm>
            <a:off x="15183972" y="1329578"/>
            <a:ext cx="1296520" cy="485775"/>
          </a:xfrm>
          <a:prstGeom prst="rect">
            <a:avLst/>
          </a:prstGeom>
          <a:solidFill>
            <a:schemeClr val="lt1"/>
          </a:solidFill>
          <a:ln w="9525" cmpd="sng">
            <a:solidFill>
              <a:srgbClr val="FF0000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CA" sz="1100"/>
              <a:t>Construction Completion</a:t>
            </a:r>
          </a:p>
          <a:p>
            <a:endParaRPr lang="en-CA" sz="1100"/>
          </a:p>
        </xdr:txBody>
      </xdr: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imon Buckett" id="{C374323B-8D6B-45C6-8D6C-6ADA256ED3CB}" userId="S::simon@vectisconsulting.ca::e3d13933-6f24-4bc3-85e1-d90e495ba1f1" providerId="AD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16</v>
    <v>8</v>
    <v>57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L66" dT="2023-07-17T19:49:35.89" personId="{C374323B-8D6B-45C6-8D6C-6ADA256ED3CB}" id="{AA492054-F581-4FCD-B637-EA25C10F49DA}">
    <text xml:space="preserve">Note have manually adjusted $2,344,901 of deposits that will be released at this point, that have not been previously used of construction costs.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9926-F5FE-4FBF-95C3-C59280B15580}">
  <dimension ref="A1:E14"/>
  <sheetViews>
    <sheetView zoomScaleNormal="100" workbookViewId="0">
      <selection activeCell="A7" sqref="A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E1" t="s">
        <v>2</v>
      </c>
    </row>
    <row r="3" spans="1:5" x14ac:dyDescent="0.2">
      <c r="A3" t="s">
        <v>5</v>
      </c>
    </row>
    <row r="5" spans="1:5" x14ac:dyDescent="0.2">
      <c r="A5" t="s">
        <v>4</v>
      </c>
    </row>
    <row r="7" spans="1:5" x14ac:dyDescent="0.2">
      <c r="A7" t="s">
        <v>6</v>
      </c>
    </row>
    <row r="9" spans="1:5" x14ac:dyDescent="0.2">
      <c r="A9" t="s">
        <v>7</v>
      </c>
    </row>
    <row r="10" spans="1:5" x14ac:dyDescent="0.2">
      <c r="A10" t="s">
        <v>8</v>
      </c>
    </row>
    <row r="12" spans="1:5" x14ac:dyDescent="0.2">
      <c r="A12" t="s">
        <v>2</v>
      </c>
    </row>
    <row r="14" spans="1:5" x14ac:dyDescent="0.2">
      <c r="A14" s="2"/>
      <c r="B14" t="s">
        <v>3</v>
      </c>
    </row>
  </sheetData>
  <pageMargins left="0.7" right="0.7" top="0.75" bottom="0.75" header="0.3" footer="0.3"/>
  <pageSetup orientation="portrait" horizontalDpi="300" verticalDpi="300" r:id="rId1"/>
  <headerFooter>
    <oddHeader>&amp;L&amp;D&amp;R&amp;F</oddHeader>
    <oddFooter>&amp;LPrepared by: Vectis Consulting Ltd&amp;R&amp;P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E2323-86A5-4AC7-B538-838A63A588BA}">
  <sheetPr>
    <tabColor rgb="FFFFFF00"/>
  </sheetPr>
  <dimension ref="A1:N36"/>
  <sheetViews>
    <sheetView zoomScale="140" workbookViewId="0">
      <selection activeCell="C17" sqref="C17"/>
    </sheetView>
  </sheetViews>
  <sheetFormatPr baseColWidth="10" defaultColWidth="8.83203125" defaultRowHeight="15" x14ac:dyDescent="0.2"/>
  <cols>
    <col min="2" max="2" width="23.1640625" customWidth="1"/>
    <col min="3" max="3" width="15.33203125" bestFit="1" customWidth="1"/>
  </cols>
  <sheetData>
    <row r="1" spans="1:14" x14ac:dyDescent="0.2">
      <c r="A1" s="3" t="s">
        <v>1</v>
      </c>
    </row>
    <row r="3" spans="1:14" x14ac:dyDescent="0.2">
      <c r="A3" s="3" t="s">
        <v>100</v>
      </c>
    </row>
    <row r="4" spans="1:14" x14ac:dyDescent="0.2">
      <c r="A4" t="s">
        <v>111</v>
      </c>
      <c r="C4" s="2"/>
    </row>
    <row r="5" spans="1:14" x14ac:dyDescent="0.2">
      <c r="A5" t="s">
        <v>7</v>
      </c>
      <c r="C5" s="2">
        <f>'Sales Detail'!F39</f>
        <v>3690</v>
      </c>
    </row>
    <row r="6" spans="1:14" x14ac:dyDescent="0.2">
      <c r="A6" t="s">
        <v>8</v>
      </c>
      <c r="C6" s="73">
        <f>C7*C5</f>
        <v>3690</v>
      </c>
    </row>
    <row r="7" spans="1:14" x14ac:dyDescent="0.2">
      <c r="A7" t="s">
        <v>128</v>
      </c>
      <c r="C7" s="60">
        <v>1</v>
      </c>
    </row>
    <row r="8" spans="1:14" x14ac:dyDescent="0.2">
      <c r="A8" t="s">
        <v>9</v>
      </c>
      <c r="C8" s="73">
        <f>C5-C6</f>
        <v>0</v>
      </c>
    </row>
    <row r="9" spans="1:14" x14ac:dyDescent="0.2">
      <c r="A9" t="s">
        <v>6</v>
      </c>
      <c r="B9" t="s">
        <v>22</v>
      </c>
      <c r="C9" s="2">
        <v>20</v>
      </c>
    </row>
    <row r="10" spans="1:14" x14ac:dyDescent="0.2">
      <c r="B10" t="s">
        <v>129</v>
      </c>
      <c r="C10" s="2">
        <v>4</v>
      </c>
      <c r="N10">
        <v>7287</v>
      </c>
    </row>
    <row r="11" spans="1:14" x14ac:dyDescent="0.2">
      <c r="B11" t="s">
        <v>87</v>
      </c>
      <c r="C11" s="2">
        <f>C9+C10</f>
        <v>24</v>
      </c>
      <c r="N11">
        <v>611</v>
      </c>
    </row>
    <row r="12" spans="1:14" x14ac:dyDescent="0.2">
      <c r="A12" t="s">
        <v>10</v>
      </c>
      <c r="C12" s="2">
        <v>25</v>
      </c>
      <c r="N12">
        <v>1168</v>
      </c>
    </row>
    <row r="13" spans="1:14" x14ac:dyDescent="0.2">
      <c r="A13" t="s">
        <v>11</v>
      </c>
      <c r="C13" s="2">
        <v>97</v>
      </c>
      <c r="D13">
        <f>C13/C11</f>
        <v>4.041666666666667</v>
      </c>
      <c r="N13">
        <v>2922</v>
      </c>
    </row>
    <row r="14" spans="1:14" x14ac:dyDescent="0.2">
      <c r="N14">
        <v>211</v>
      </c>
    </row>
    <row r="15" spans="1:14" x14ac:dyDescent="0.2">
      <c r="A15" s="3" t="s">
        <v>108</v>
      </c>
      <c r="N15">
        <v>8337</v>
      </c>
    </row>
    <row r="16" spans="1:14" x14ac:dyDescent="0.2">
      <c r="A16" t="s">
        <v>134</v>
      </c>
      <c r="C16" s="2">
        <v>800</v>
      </c>
      <c r="N16">
        <v>6462</v>
      </c>
    </row>
    <row r="17" spans="1:14" x14ac:dyDescent="0.2">
      <c r="A17" t="s">
        <v>109</v>
      </c>
      <c r="C17" s="57">
        <f>C16*C5</f>
        <v>2952000</v>
      </c>
      <c r="N17">
        <f>SUM(N10:N16)</f>
        <v>26998</v>
      </c>
    </row>
    <row r="18" spans="1:14" x14ac:dyDescent="0.2">
      <c r="A18" t="s">
        <v>40</v>
      </c>
      <c r="C18" s="60">
        <v>0.05</v>
      </c>
    </row>
    <row r="19" spans="1:14" ht="14.25" customHeight="1" x14ac:dyDescent="0.2">
      <c r="A19" t="s">
        <v>110</v>
      </c>
      <c r="C19" s="60">
        <v>0</v>
      </c>
    </row>
    <row r="20" spans="1:14" ht="14.25" customHeight="1" x14ac:dyDescent="0.2">
      <c r="C20" s="37"/>
    </row>
    <row r="21" spans="1:14" ht="14.25" customHeight="1" x14ac:dyDescent="0.2">
      <c r="A21" s="3" t="s">
        <v>112</v>
      </c>
      <c r="C21" s="37"/>
    </row>
    <row r="22" spans="1:14" ht="14.25" customHeight="1" x14ac:dyDescent="0.2">
      <c r="A22" t="s">
        <v>12</v>
      </c>
      <c r="C22" s="60">
        <v>0.05</v>
      </c>
    </row>
    <row r="23" spans="1:14" ht="14.25" customHeight="1" x14ac:dyDescent="0.2">
      <c r="A23" t="s">
        <v>13</v>
      </c>
      <c r="C23" s="62">
        <v>5.0000000000000001E-3</v>
      </c>
    </row>
    <row r="24" spans="1:14" ht="14.25" customHeight="1" x14ac:dyDescent="0.2">
      <c r="A24" t="s">
        <v>15</v>
      </c>
      <c r="C24" s="62">
        <v>1.4999999999999999E-2</v>
      </c>
    </row>
    <row r="26" spans="1:14" x14ac:dyDescent="0.2">
      <c r="A26" s="3" t="s">
        <v>101</v>
      </c>
    </row>
    <row r="27" spans="1:14" x14ac:dyDescent="0.2">
      <c r="A27" t="s">
        <v>89</v>
      </c>
      <c r="C27" s="55">
        <v>0.65</v>
      </c>
    </row>
    <row r="28" spans="1:14" x14ac:dyDescent="0.2">
      <c r="A28" t="s">
        <v>90</v>
      </c>
      <c r="C28" s="55">
        <v>0.15</v>
      </c>
    </row>
    <row r="29" spans="1:14" x14ac:dyDescent="0.2">
      <c r="A29" t="s">
        <v>201</v>
      </c>
      <c r="C29" s="2">
        <v>20</v>
      </c>
      <c r="D29" t="s">
        <v>91</v>
      </c>
    </row>
    <row r="30" spans="1:14" x14ac:dyDescent="0.2">
      <c r="A30" t="s">
        <v>14</v>
      </c>
      <c r="C30" s="55">
        <v>0.05</v>
      </c>
    </row>
    <row r="31" spans="1:14" x14ac:dyDescent="0.2">
      <c r="A31" s="3" t="s">
        <v>16</v>
      </c>
    </row>
    <row r="32" spans="1:14" x14ac:dyDescent="0.2">
      <c r="A32" t="s">
        <v>135</v>
      </c>
      <c r="C32" s="2">
        <v>1850</v>
      </c>
    </row>
    <row r="34" spans="1:3" x14ac:dyDescent="0.2">
      <c r="A34" s="3" t="s">
        <v>105</v>
      </c>
    </row>
    <row r="35" spans="1:3" x14ac:dyDescent="0.2">
      <c r="A35" t="s">
        <v>116</v>
      </c>
      <c r="C35" s="55">
        <v>0.08</v>
      </c>
    </row>
    <row r="36" spans="1:3" x14ac:dyDescent="0.2">
      <c r="A36" t="s">
        <v>117</v>
      </c>
      <c r="C36" s="55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C908-6D35-440C-A9A6-8ADF4A051A01}">
  <dimension ref="A1:W127"/>
  <sheetViews>
    <sheetView tabSelected="1" view="pageBreakPreview" topLeftCell="A13" zoomScale="105" zoomScaleNormal="100" zoomScaleSheetLayoutView="124" workbookViewId="0">
      <selection activeCell="K91" sqref="K91"/>
    </sheetView>
  </sheetViews>
  <sheetFormatPr baseColWidth="10" defaultColWidth="8.83203125" defaultRowHeight="15" x14ac:dyDescent="0.2"/>
  <cols>
    <col min="2" max="2" width="24.5" customWidth="1"/>
    <col min="3" max="3" width="15.6640625" customWidth="1"/>
    <col min="7" max="7" width="17.6640625" customWidth="1"/>
    <col min="8" max="8" width="19.1640625" style="5" customWidth="1"/>
    <col min="9" max="9" width="22.1640625" customWidth="1"/>
    <col min="10" max="10" width="11.6640625" customWidth="1"/>
    <col min="11" max="11" width="12" bestFit="1" customWidth="1"/>
    <col min="12" max="12" width="11.5" bestFit="1" customWidth="1"/>
  </cols>
  <sheetData>
    <row r="1" spans="1:23" ht="21" x14ac:dyDescent="0.2">
      <c r="A1" s="8" t="s">
        <v>17</v>
      </c>
      <c r="B1" s="8"/>
      <c r="C1" s="8"/>
      <c r="D1" s="8"/>
      <c r="E1" s="8"/>
      <c r="F1" s="106"/>
      <c r="G1" s="106"/>
      <c r="H1" s="106"/>
      <c r="I1" s="9"/>
      <c r="J1" s="11"/>
    </row>
    <row r="2" spans="1:23" x14ac:dyDescent="0.2">
      <c r="A2" s="29"/>
      <c r="B2" t="s">
        <v>18</v>
      </c>
      <c r="C2" t="s">
        <v>165</v>
      </c>
      <c r="G2" t="s">
        <v>21</v>
      </c>
      <c r="H2" s="5" t="s">
        <v>127</v>
      </c>
    </row>
    <row r="3" spans="1:23" x14ac:dyDescent="0.2">
      <c r="A3" s="30"/>
      <c r="B3" t="s">
        <v>19</v>
      </c>
      <c r="C3" t="s">
        <v>166</v>
      </c>
      <c r="G3" t="s">
        <v>23</v>
      </c>
      <c r="H3" s="38" t="s">
        <v>126</v>
      </c>
    </row>
    <row r="4" spans="1:23" ht="16" thickBot="1" x14ac:dyDescent="0.25">
      <c r="A4" s="29"/>
    </row>
    <row r="5" spans="1:23" ht="25.5" customHeight="1" thickBot="1" x14ac:dyDescent="0.25">
      <c r="A5" s="31"/>
      <c r="B5" s="17" t="s">
        <v>29</v>
      </c>
      <c r="C5" s="18"/>
      <c r="D5" s="18"/>
      <c r="E5" s="18"/>
      <c r="F5" s="18"/>
      <c r="G5" s="18"/>
      <c r="H5" s="19"/>
      <c r="I5" s="18"/>
      <c r="J5" s="15"/>
      <c r="W5" s="5"/>
    </row>
    <row r="6" spans="1:23" x14ac:dyDescent="0.2">
      <c r="A6" s="30"/>
      <c r="B6" t="s">
        <v>30</v>
      </c>
      <c r="C6" s="5">
        <f>'Inputs &amp; Assumptions'!C4</f>
        <v>0</v>
      </c>
      <c r="H6" s="21"/>
      <c r="W6" s="5"/>
    </row>
    <row r="7" spans="1:23" x14ac:dyDescent="0.2">
      <c r="A7" s="29"/>
      <c r="H7" s="21"/>
      <c r="P7" s="1"/>
      <c r="W7" s="5"/>
    </row>
    <row r="8" spans="1:23" x14ac:dyDescent="0.2">
      <c r="A8" s="29"/>
      <c r="B8" t="s">
        <v>31</v>
      </c>
      <c r="E8">
        <f>C11/C14</f>
        <v>184.5</v>
      </c>
      <c r="H8" s="21"/>
      <c r="P8" s="1"/>
      <c r="W8" s="5"/>
    </row>
    <row r="9" spans="1:23" x14ac:dyDescent="0.2">
      <c r="A9" s="29"/>
      <c r="B9" s="22" t="s">
        <v>24</v>
      </c>
      <c r="C9" s="5">
        <f>'Inputs &amp; Assumptions'!C6</f>
        <v>3690</v>
      </c>
      <c r="D9" s="37"/>
      <c r="G9" t="s">
        <v>26</v>
      </c>
      <c r="H9" s="21">
        <v>2</v>
      </c>
      <c r="P9" s="1"/>
      <c r="W9" s="5"/>
    </row>
    <row r="10" spans="1:23" x14ac:dyDescent="0.2">
      <c r="A10" s="29"/>
      <c r="B10" s="22" t="s">
        <v>28</v>
      </c>
      <c r="C10" s="5">
        <f>'Inputs &amp; Assumptions'!C8</f>
        <v>0</v>
      </c>
      <c r="D10" s="37"/>
      <c r="G10" t="s">
        <v>27</v>
      </c>
      <c r="H10" s="21" t="s">
        <v>150</v>
      </c>
      <c r="P10" s="1"/>
      <c r="W10" s="5"/>
    </row>
    <row r="11" spans="1:23" x14ac:dyDescent="0.2">
      <c r="A11" s="29"/>
      <c r="B11" s="22" t="s">
        <v>25</v>
      </c>
      <c r="C11" s="21">
        <f>'Inputs &amp; Assumptions'!C5</f>
        <v>3690</v>
      </c>
      <c r="G11" t="s">
        <v>132</v>
      </c>
      <c r="H11" s="74">
        <f>'Inputs &amp; Assumptions'!C7</f>
        <v>1</v>
      </c>
      <c r="P11" s="1"/>
      <c r="U11" s="4"/>
      <c r="W11" s="5"/>
    </row>
    <row r="12" spans="1:23" x14ac:dyDescent="0.2">
      <c r="A12" s="29"/>
      <c r="B12" s="22"/>
      <c r="C12" s="21"/>
      <c r="H12" s="21"/>
      <c r="P12" s="1"/>
      <c r="U12" s="4"/>
      <c r="W12" s="5"/>
    </row>
    <row r="13" spans="1:23" x14ac:dyDescent="0.2">
      <c r="A13" s="29"/>
      <c r="B13" s="22" t="s">
        <v>130</v>
      </c>
      <c r="C13" s="21"/>
      <c r="H13" s="21"/>
      <c r="P13" s="1"/>
      <c r="U13" s="4"/>
      <c r="W13" s="5"/>
    </row>
    <row r="14" spans="1:23" ht="16" thickBot="1" x14ac:dyDescent="0.25">
      <c r="A14" s="29"/>
      <c r="B14" s="22" t="s">
        <v>131</v>
      </c>
      <c r="C14" s="21">
        <f>'Inputs &amp; Assumptions'!C9</f>
        <v>20</v>
      </c>
      <c r="G14" s="22"/>
      <c r="H14" s="21"/>
      <c r="P14" s="1"/>
      <c r="U14" s="4"/>
      <c r="W14" s="5"/>
    </row>
    <row r="15" spans="1:23" ht="16" thickBot="1" x14ac:dyDescent="0.25">
      <c r="A15" s="16"/>
      <c r="B15" s="17" t="s">
        <v>32</v>
      </c>
      <c r="C15" s="18"/>
      <c r="D15" s="18"/>
      <c r="E15" s="18"/>
      <c r="F15" s="18"/>
      <c r="G15" s="18"/>
      <c r="H15" s="19"/>
      <c r="I15" s="18"/>
      <c r="J15" s="20"/>
      <c r="P15" s="1"/>
      <c r="W15" s="5"/>
    </row>
    <row r="16" spans="1:23" x14ac:dyDescent="0.2">
      <c r="A16" s="12"/>
      <c r="U16" s="7"/>
      <c r="W16" s="5"/>
    </row>
    <row r="17" spans="1:23" x14ac:dyDescent="0.2">
      <c r="A17" s="12"/>
      <c r="B17" t="s">
        <v>33</v>
      </c>
      <c r="G17" t="s">
        <v>38</v>
      </c>
      <c r="J17" s="25"/>
      <c r="P17" s="1"/>
      <c r="W17" s="5"/>
    </row>
    <row r="18" spans="1:23" x14ac:dyDescent="0.2">
      <c r="A18" s="12"/>
      <c r="C18" t="s">
        <v>176</v>
      </c>
      <c r="H18" s="38">
        <v>400000</v>
      </c>
      <c r="J18" s="25"/>
      <c r="P18" s="1"/>
      <c r="W18" s="5"/>
    </row>
    <row r="19" spans="1:23" hidden="1" x14ac:dyDescent="0.2">
      <c r="A19" s="12"/>
      <c r="C19" t="s">
        <v>34</v>
      </c>
      <c r="H19" s="38"/>
      <c r="J19" s="25"/>
      <c r="P19" s="1"/>
      <c r="U19" s="4"/>
      <c r="W19" s="5"/>
    </row>
    <row r="20" spans="1:23" x14ac:dyDescent="0.2">
      <c r="A20" s="12"/>
      <c r="C20" t="s">
        <v>35</v>
      </c>
      <c r="H20" s="38">
        <v>0</v>
      </c>
      <c r="J20" s="25"/>
      <c r="P20" s="1"/>
      <c r="W20" s="5"/>
    </row>
    <row r="21" spans="1:23" hidden="1" x14ac:dyDescent="0.2">
      <c r="A21" s="12"/>
      <c r="C21" t="s">
        <v>36</v>
      </c>
      <c r="H21" s="38"/>
      <c r="J21" s="25"/>
      <c r="P21" s="1"/>
      <c r="W21" s="5"/>
    </row>
    <row r="22" spans="1:23" x14ac:dyDescent="0.2">
      <c r="A22" s="12"/>
      <c r="H22" s="38"/>
      <c r="J22" s="25"/>
      <c r="P22" s="1"/>
      <c r="W22" s="5"/>
    </row>
    <row r="23" spans="1:23" ht="16" thickBot="1" x14ac:dyDescent="0.25">
      <c r="A23" s="12"/>
      <c r="C23" s="28" t="s">
        <v>52</v>
      </c>
      <c r="D23" s="26"/>
      <c r="E23" s="26"/>
      <c r="F23" s="26"/>
      <c r="G23" s="26"/>
      <c r="H23" s="39"/>
      <c r="I23" s="27">
        <f>SUM(H18:H21)</f>
        <v>400000</v>
      </c>
      <c r="J23" s="25"/>
      <c r="P23" s="1"/>
      <c r="W23" s="5"/>
    </row>
    <row r="24" spans="1:23" x14ac:dyDescent="0.2">
      <c r="A24" s="12"/>
      <c r="H24" s="38"/>
      <c r="J24" s="25"/>
      <c r="P24" s="1"/>
      <c r="W24" s="5"/>
    </row>
    <row r="25" spans="1:23" x14ac:dyDescent="0.2">
      <c r="A25" s="12"/>
      <c r="B25" t="s">
        <v>37</v>
      </c>
      <c r="G25" t="s">
        <v>136</v>
      </c>
      <c r="H25" s="38"/>
      <c r="J25" s="25"/>
      <c r="P25" s="1"/>
      <c r="W25" s="5"/>
    </row>
    <row r="26" spans="1:23" x14ac:dyDescent="0.2">
      <c r="A26" s="12"/>
      <c r="C26" t="s">
        <v>39</v>
      </c>
      <c r="G26" s="24">
        <f>'Inputs &amp; Assumptions'!C16</f>
        <v>800</v>
      </c>
      <c r="H26" s="38">
        <f>G26*'Inputs &amp; Assumptions'!C5</f>
        <v>2952000</v>
      </c>
      <c r="I26" t="s">
        <v>156</v>
      </c>
      <c r="J26" s="25"/>
      <c r="P26" s="1"/>
      <c r="W26" s="5"/>
    </row>
    <row r="27" spans="1:23" x14ac:dyDescent="0.2">
      <c r="A27" s="12"/>
      <c r="C27" t="s">
        <v>40</v>
      </c>
      <c r="G27" s="4">
        <v>0</v>
      </c>
      <c r="H27" s="38">
        <f>H26*G27</f>
        <v>0</v>
      </c>
      <c r="I27" t="s">
        <v>155</v>
      </c>
      <c r="J27" s="25"/>
      <c r="P27" s="1"/>
      <c r="W27" s="5"/>
    </row>
    <row r="28" spans="1:23" x14ac:dyDescent="0.2">
      <c r="A28" s="12"/>
      <c r="G28" s="4"/>
      <c r="H28" s="38"/>
      <c r="J28" s="25"/>
      <c r="P28" s="1"/>
      <c r="W28" s="5"/>
    </row>
    <row r="29" spans="1:23" ht="16" thickBot="1" x14ac:dyDescent="0.25">
      <c r="A29" s="12"/>
      <c r="C29" s="28" t="s">
        <v>52</v>
      </c>
      <c r="D29" s="26"/>
      <c r="E29" s="26"/>
      <c r="F29" s="26"/>
      <c r="G29" s="26"/>
      <c r="H29" s="39"/>
      <c r="I29" s="27">
        <f>SUM(H26:H27)</f>
        <v>2952000</v>
      </c>
      <c r="J29" s="25"/>
      <c r="P29" s="1"/>
      <c r="W29" s="5"/>
    </row>
    <row r="30" spans="1:23" x14ac:dyDescent="0.2">
      <c r="A30" s="12"/>
      <c r="H30" s="38"/>
      <c r="J30" s="25"/>
      <c r="U30" s="4"/>
      <c r="W30" s="5"/>
    </row>
    <row r="31" spans="1:23" hidden="1" x14ac:dyDescent="0.2">
      <c r="A31" s="12"/>
      <c r="B31" t="s">
        <v>41</v>
      </c>
      <c r="H31" s="38"/>
      <c r="J31" s="25"/>
      <c r="W31" s="5"/>
    </row>
    <row r="32" spans="1:23" hidden="1" x14ac:dyDescent="0.2">
      <c r="A32" s="12"/>
      <c r="H32" s="38"/>
      <c r="J32" s="25"/>
      <c r="W32" s="5"/>
    </row>
    <row r="33" spans="1:23" ht="16" hidden="1" thickBot="1" x14ac:dyDescent="0.25">
      <c r="A33" s="12"/>
      <c r="C33" s="28" t="s">
        <v>52</v>
      </c>
      <c r="D33" s="26"/>
      <c r="E33" s="26"/>
      <c r="F33" s="26"/>
      <c r="G33" s="26"/>
      <c r="H33" s="39"/>
      <c r="I33" s="27">
        <f>SUM(H31:H32)</f>
        <v>0</v>
      </c>
      <c r="J33" s="25"/>
      <c r="W33" s="5"/>
    </row>
    <row r="34" spans="1:23" hidden="1" x14ac:dyDescent="0.2">
      <c r="A34" s="12"/>
      <c r="H34" s="38"/>
      <c r="J34" s="25"/>
      <c r="W34" s="5"/>
    </row>
    <row r="35" spans="1:23" x14ac:dyDescent="0.2">
      <c r="A35" s="12"/>
      <c r="B35" t="s">
        <v>42</v>
      </c>
      <c r="H35" s="38"/>
      <c r="J35" s="25"/>
      <c r="P35" s="1"/>
      <c r="W35" s="5"/>
    </row>
    <row r="36" spans="1:23" x14ac:dyDescent="0.2">
      <c r="A36" s="12"/>
      <c r="C36" t="s">
        <v>115</v>
      </c>
      <c r="G36" s="37" t="s">
        <v>138</v>
      </c>
      <c r="H36" s="38"/>
      <c r="J36" s="25"/>
      <c r="P36" s="1"/>
      <c r="W36" s="5"/>
    </row>
    <row r="37" spans="1:23" x14ac:dyDescent="0.2">
      <c r="A37" s="12"/>
      <c r="C37" t="s">
        <v>113</v>
      </c>
      <c r="G37" s="37" t="s">
        <v>137</v>
      </c>
      <c r="H37" s="38"/>
      <c r="J37" s="25"/>
      <c r="P37" s="1"/>
      <c r="W37" s="5"/>
    </row>
    <row r="38" spans="1:23" hidden="1" x14ac:dyDescent="0.2">
      <c r="A38" s="12"/>
      <c r="C38" t="s">
        <v>114</v>
      </c>
      <c r="H38" s="38"/>
      <c r="J38" s="25"/>
      <c r="P38" s="1"/>
      <c r="W38" s="5"/>
    </row>
    <row r="39" spans="1:23" hidden="1" x14ac:dyDescent="0.2">
      <c r="A39" s="12"/>
      <c r="E39" t="s">
        <v>44</v>
      </c>
      <c r="H39" s="38"/>
      <c r="J39" s="25"/>
      <c r="W39" s="5"/>
    </row>
    <row r="40" spans="1:23" hidden="1" x14ac:dyDescent="0.2">
      <c r="A40" s="12"/>
      <c r="E40" t="s">
        <v>45</v>
      </c>
      <c r="H40" s="38"/>
      <c r="J40" s="25"/>
      <c r="W40" s="5"/>
    </row>
    <row r="41" spans="1:23" hidden="1" x14ac:dyDescent="0.2">
      <c r="A41" s="12"/>
      <c r="E41" t="s">
        <v>46</v>
      </c>
      <c r="H41" s="38"/>
      <c r="J41" s="25"/>
      <c r="W41" s="5"/>
    </row>
    <row r="42" spans="1:23" hidden="1" x14ac:dyDescent="0.2">
      <c r="A42" s="12"/>
      <c r="E42" t="s">
        <v>47</v>
      </c>
      <c r="H42" s="38"/>
      <c r="J42" s="25"/>
      <c r="W42" s="5"/>
    </row>
    <row r="43" spans="1:23" hidden="1" x14ac:dyDescent="0.2">
      <c r="A43" s="12"/>
      <c r="E43" t="s">
        <v>48</v>
      </c>
      <c r="H43" s="38"/>
      <c r="J43" s="25"/>
      <c r="W43" s="5"/>
    </row>
    <row r="44" spans="1:23" hidden="1" x14ac:dyDescent="0.2">
      <c r="A44" s="12"/>
      <c r="E44" t="s">
        <v>49</v>
      </c>
      <c r="H44" s="38"/>
      <c r="J44" s="25"/>
      <c r="W44" s="5"/>
    </row>
    <row r="45" spans="1:23" hidden="1" x14ac:dyDescent="0.2">
      <c r="A45" s="12"/>
      <c r="C45" t="s">
        <v>50</v>
      </c>
      <c r="H45" s="38"/>
      <c r="J45" s="25"/>
      <c r="W45" s="5"/>
    </row>
    <row r="46" spans="1:23" hidden="1" x14ac:dyDescent="0.2">
      <c r="A46" s="12"/>
      <c r="C46" t="s">
        <v>51</v>
      </c>
      <c r="H46" s="38"/>
      <c r="J46" s="25"/>
      <c r="W46" s="5"/>
    </row>
    <row r="47" spans="1:23" x14ac:dyDescent="0.2">
      <c r="A47" s="12"/>
      <c r="H47" s="38"/>
      <c r="J47" s="25"/>
      <c r="W47" s="5"/>
    </row>
    <row r="48" spans="1:23" ht="16" thickBot="1" x14ac:dyDescent="0.25">
      <c r="A48" s="12"/>
      <c r="C48" s="28" t="s">
        <v>52</v>
      </c>
      <c r="D48" s="26"/>
      <c r="E48" s="26"/>
      <c r="F48" s="26"/>
      <c r="G48" s="26"/>
      <c r="H48" s="39"/>
      <c r="I48" s="27">
        <f>SUM(H36:H46)</f>
        <v>0</v>
      </c>
      <c r="J48" s="25"/>
      <c r="W48" s="5"/>
    </row>
    <row r="49" spans="1:23" x14ac:dyDescent="0.2">
      <c r="A49" s="12"/>
      <c r="H49" s="38"/>
      <c r="J49" s="25"/>
      <c r="W49" s="5"/>
    </row>
    <row r="50" spans="1:23" hidden="1" x14ac:dyDescent="0.2">
      <c r="A50" s="12"/>
      <c r="B50" t="s">
        <v>53</v>
      </c>
      <c r="H50" s="38"/>
      <c r="J50" s="25"/>
      <c r="W50" s="5"/>
    </row>
    <row r="51" spans="1:23" hidden="1" x14ac:dyDescent="0.2">
      <c r="A51" s="12"/>
      <c r="C51" t="s">
        <v>54</v>
      </c>
      <c r="H51" s="38"/>
      <c r="J51" s="25"/>
      <c r="Q51" s="6"/>
      <c r="W51" s="5"/>
    </row>
    <row r="52" spans="1:23" hidden="1" x14ac:dyDescent="0.2">
      <c r="A52" s="12"/>
      <c r="C52" t="s">
        <v>55</v>
      </c>
      <c r="H52" s="38"/>
      <c r="J52" s="25"/>
      <c r="Q52" s="6"/>
      <c r="W52" s="5"/>
    </row>
    <row r="53" spans="1:23" hidden="1" x14ac:dyDescent="0.2">
      <c r="A53" s="12"/>
      <c r="C53" t="s">
        <v>56</v>
      </c>
      <c r="H53" s="38"/>
      <c r="J53" s="25"/>
      <c r="W53" s="5"/>
    </row>
    <row r="54" spans="1:23" hidden="1" x14ac:dyDescent="0.2">
      <c r="A54" s="12"/>
      <c r="H54" s="38"/>
      <c r="J54" s="25"/>
      <c r="W54" s="5"/>
    </row>
    <row r="55" spans="1:23" ht="16" hidden="1" thickBot="1" x14ac:dyDescent="0.25">
      <c r="A55" s="12"/>
      <c r="C55" s="28" t="s">
        <v>52</v>
      </c>
      <c r="D55" s="26"/>
      <c r="E55" s="26"/>
      <c r="F55" s="26"/>
      <c r="G55" s="26"/>
      <c r="H55" s="39"/>
      <c r="I55" s="27">
        <f>SUM(H51:H53)</f>
        <v>0</v>
      </c>
      <c r="J55" s="25"/>
      <c r="W55" s="5"/>
    </row>
    <row r="56" spans="1:23" hidden="1" x14ac:dyDescent="0.2">
      <c r="A56" s="12"/>
      <c r="H56" s="38"/>
      <c r="J56" s="25"/>
      <c r="W56" s="5"/>
    </row>
    <row r="57" spans="1:23" x14ac:dyDescent="0.2">
      <c r="A57" s="12"/>
      <c r="B57" t="s">
        <v>57</v>
      </c>
      <c r="H57" s="38"/>
      <c r="J57" s="25"/>
      <c r="W57" s="5"/>
    </row>
    <row r="58" spans="1:23" x14ac:dyDescent="0.2">
      <c r="A58" s="12"/>
      <c r="C58" t="s">
        <v>12</v>
      </c>
      <c r="G58" s="4">
        <f>'Inputs &amp; Assumptions'!C22</f>
        <v>0.05</v>
      </c>
      <c r="H58" s="38">
        <f>G58*H104</f>
        <v>321000</v>
      </c>
      <c r="J58" s="25"/>
      <c r="W58" s="5"/>
    </row>
    <row r="59" spans="1:23" x14ac:dyDescent="0.2">
      <c r="A59" s="12"/>
      <c r="C59" t="s">
        <v>13</v>
      </c>
      <c r="G59" s="61">
        <v>0.02</v>
      </c>
      <c r="H59" s="38">
        <f>G59*H104</f>
        <v>128400</v>
      </c>
      <c r="J59" s="25"/>
      <c r="W59" s="5"/>
    </row>
    <row r="60" spans="1:23" x14ac:dyDescent="0.2">
      <c r="A60" s="12"/>
      <c r="H60" s="38"/>
      <c r="J60" s="25"/>
      <c r="W60" s="5"/>
    </row>
    <row r="61" spans="1:23" ht="16" thickBot="1" x14ac:dyDescent="0.25">
      <c r="A61" s="12"/>
      <c r="C61" s="28" t="s">
        <v>52</v>
      </c>
      <c r="D61" s="26"/>
      <c r="E61" s="26"/>
      <c r="F61" s="26"/>
      <c r="G61" s="26"/>
      <c r="H61" s="39"/>
      <c r="I61" s="27">
        <f>SUM(H57:H59)</f>
        <v>449400</v>
      </c>
      <c r="J61" s="25"/>
      <c r="W61" s="5"/>
    </row>
    <row r="62" spans="1:23" x14ac:dyDescent="0.2">
      <c r="A62" s="12"/>
      <c r="H62" s="38"/>
      <c r="J62" s="25"/>
    </row>
    <row r="63" spans="1:23" x14ac:dyDescent="0.2">
      <c r="A63" s="12"/>
      <c r="B63" t="s">
        <v>58</v>
      </c>
      <c r="G63" t="s">
        <v>146</v>
      </c>
      <c r="H63" s="38" t="s">
        <v>147</v>
      </c>
      <c r="I63" t="s">
        <v>163</v>
      </c>
      <c r="J63" s="25"/>
    </row>
    <row r="64" spans="1:23" x14ac:dyDescent="0.2">
      <c r="A64" s="12"/>
      <c r="C64" t="s">
        <v>139</v>
      </c>
      <c r="G64" s="23">
        <f>$C$14</f>
        <v>20</v>
      </c>
      <c r="H64">
        <v>800</v>
      </c>
      <c r="I64">
        <f>H64*G64</f>
        <v>16000</v>
      </c>
      <c r="J64" s="25"/>
      <c r="L64" s="75"/>
    </row>
    <row r="65" spans="1:10" x14ac:dyDescent="0.2">
      <c r="A65" s="12"/>
      <c r="C65" t="s">
        <v>140</v>
      </c>
      <c r="G65" s="23">
        <f t="shared" ref="G65:G70" si="0">$C$14</f>
        <v>20</v>
      </c>
      <c r="H65">
        <v>106.75</v>
      </c>
      <c r="I65">
        <f>H65*G65</f>
        <v>2135</v>
      </c>
      <c r="J65" s="25"/>
    </row>
    <row r="66" spans="1:10" x14ac:dyDescent="0.2">
      <c r="A66" s="12"/>
      <c r="C66" t="s">
        <v>141</v>
      </c>
      <c r="G66" s="23">
        <f t="shared" si="0"/>
        <v>20</v>
      </c>
      <c r="H66">
        <v>111.17</v>
      </c>
      <c r="I66">
        <f t="shared" ref="I66:I70" si="1">H66*G66</f>
        <v>2223.4</v>
      </c>
      <c r="J66" s="25"/>
    </row>
    <row r="67" spans="1:10" x14ac:dyDescent="0.2">
      <c r="A67" s="12"/>
      <c r="C67" t="s">
        <v>142</v>
      </c>
      <c r="G67" s="23">
        <f t="shared" si="0"/>
        <v>20</v>
      </c>
      <c r="H67">
        <v>385.4</v>
      </c>
      <c r="I67">
        <f t="shared" si="1"/>
        <v>7708</v>
      </c>
      <c r="J67" s="25"/>
    </row>
    <row r="68" spans="1:10" x14ac:dyDescent="0.2">
      <c r="A68" s="12"/>
      <c r="C68" t="s">
        <v>143</v>
      </c>
      <c r="G68" s="23">
        <f t="shared" si="0"/>
        <v>20</v>
      </c>
      <c r="H68">
        <v>427</v>
      </c>
      <c r="I68" s="23">
        <f>H68*G68</f>
        <v>8540</v>
      </c>
      <c r="J68" s="25"/>
    </row>
    <row r="69" spans="1:10" x14ac:dyDescent="0.2">
      <c r="A69" s="12"/>
      <c r="C69" t="s">
        <v>144</v>
      </c>
      <c r="E69" s="4"/>
      <c r="G69" s="23">
        <f t="shared" si="0"/>
        <v>20</v>
      </c>
      <c r="H69">
        <v>172.94</v>
      </c>
      <c r="I69">
        <f t="shared" si="1"/>
        <v>3458.8</v>
      </c>
      <c r="J69" s="25"/>
    </row>
    <row r="70" spans="1:10" x14ac:dyDescent="0.2">
      <c r="A70" s="12"/>
      <c r="C70" t="s">
        <v>145</v>
      </c>
      <c r="E70" s="4"/>
      <c r="G70" s="23">
        <f t="shared" si="0"/>
        <v>20</v>
      </c>
      <c r="H70" s="78">
        <v>0</v>
      </c>
      <c r="I70">
        <f t="shared" si="1"/>
        <v>0</v>
      </c>
      <c r="J70" s="25"/>
    </row>
    <row r="71" spans="1:10" x14ac:dyDescent="0.2">
      <c r="A71" s="12"/>
      <c r="H71" s="38"/>
      <c r="J71" s="25"/>
    </row>
    <row r="72" spans="1:10" ht="16" thickBot="1" x14ac:dyDescent="0.25">
      <c r="A72" s="12"/>
      <c r="C72" s="28" t="s">
        <v>52</v>
      </c>
      <c r="D72" s="26"/>
      <c r="E72" s="26"/>
      <c r="F72" s="26"/>
      <c r="G72" s="26"/>
      <c r="H72" s="39"/>
      <c r="I72" s="27">
        <f>SUM(H64:H70)*C14</f>
        <v>40065.199999999997</v>
      </c>
      <c r="J72" s="25"/>
    </row>
    <row r="73" spans="1:10" x14ac:dyDescent="0.2">
      <c r="A73" s="12"/>
      <c r="H73" s="38"/>
      <c r="J73" s="25"/>
    </row>
    <row r="74" spans="1:10" x14ac:dyDescent="0.2">
      <c r="A74" s="12"/>
      <c r="B74" t="s">
        <v>148</v>
      </c>
      <c r="G74" t="s">
        <v>146</v>
      </c>
      <c r="H74" s="38" t="s">
        <v>154</v>
      </c>
      <c r="J74" s="25"/>
    </row>
    <row r="75" spans="1:10" hidden="1" x14ac:dyDescent="0.2">
      <c r="A75" s="12"/>
      <c r="H75" s="38"/>
      <c r="J75" s="25"/>
    </row>
    <row r="76" spans="1:10" hidden="1" x14ac:dyDescent="0.2">
      <c r="A76" s="12"/>
      <c r="H76" s="38"/>
      <c r="J76" s="25"/>
    </row>
    <row r="77" spans="1:10" x14ac:dyDescent="0.2">
      <c r="A77" s="12"/>
      <c r="C77" t="s">
        <v>149</v>
      </c>
      <c r="D77" t="s">
        <v>151</v>
      </c>
      <c r="G77">
        <v>10</v>
      </c>
      <c r="H77" s="38">
        <v>16000</v>
      </c>
      <c r="I77" s="23">
        <f>G77*H77</f>
        <v>160000</v>
      </c>
      <c r="J77" s="25"/>
    </row>
    <row r="78" spans="1:10" x14ac:dyDescent="0.2">
      <c r="A78" s="12"/>
      <c r="C78" t="s">
        <v>149</v>
      </c>
      <c r="D78" t="s">
        <v>152</v>
      </c>
      <c r="G78">
        <v>6</v>
      </c>
      <c r="H78" s="38">
        <v>25000</v>
      </c>
      <c r="I78" s="23">
        <f>H78*G78</f>
        <v>150000</v>
      </c>
      <c r="J78" s="25"/>
    </row>
    <row r="79" spans="1:10" x14ac:dyDescent="0.2">
      <c r="A79" s="12"/>
      <c r="C79" t="s">
        <v>149</v>
      </c>
      <c r="D79" t="s">
        <v>153</v>
      </c>
      <c r="G79">
        <v>4</v>
      </c>
      <c r="H79" s="38">
        <v>30000</v>
      </c>
      <c r="I79" s="23">
        <f>H79*G79</f>
        <v>120000</v>
      </c>
      <c r="J79" s="25"/>
    </row>
    <row r="80" spans="1:10" x14ac:dyDescent="0.2">
      <c r="A80" s="12"/>
      <c r="H80" s="38"/>
      <c r="J80" s="25"/>
    </row>
    <row r="81" spans="1:12" x14ac:dyDescent="0.2">
      <c r="A81" s="12"/>
      <c r="H81" s="38"/>
      <c r="J81" s="25"/>
    </row>
    <row r="82" spans="1:12" x14ac:dyDescent="0.2">
      <c r="A82" s="12"/>
      <c r="G82" s="63"/>
      <c r="H82" s="72"/>
      <c r="J82" s="25"/>
      <c r="K82" s="24"/>
    </row>
    <row r="83" spans="1:12" hidden="1" x14ac:dyDescent="0.2">
      <c r="A83" s="12"/>
      <c r="H83" s="38"/>
      <c r="J83" s="25"/>
    </row>
    <row r="84" spans="1:12" hidden="1" x14ac:dyDescent="0.2">
      <c r="A84" s="12"/>
      <c r="H84" s="38"/>
      <c r="J84" s="25"/>
    </row>
    <row r="85" spans="1:12" x14ac:dyDescent="0.2">
      <c r="A85" s="12"/>
      <c r="H85" s="38"/>
      <c r="J85" s="25"/>
    </row>
    <row r="86" spans="1:12" ht="16" thickBot="1" x14ac:dyDescent="0.25">
      <c r="A86" s="12"/>
      <c r="C86" s="28"/>
      <c r="D86" s="26"/>
      <c r="E86" s="26"/>
      <c r="F86" s="26"/>
      <c r="G86" s="26"/>
      <c r="H86" s="39"/>
      <c r="I86" s="27">
        <f>SUM(I77:I79)</f>
        <v>430000</v>
      </c>
      <c r="J86" s="25"/>
    </row>
    <row r="87" spans="1:12" x14ac:dyDescent="0.2">
      <c r="A87" s="12"/>
      <c r="J87" s="25"/>
    </row>
    <row r="88" spans="1:12" hidden="1" x14ac:dyDescent="0.2">
      <c r="A88" s="12"/>
      <c r="B88" t="s">
        <v>59</v>
      </c>
      <c r="J88" s="25"/>
    </row>
    <row r="89" spans="1:12" hidden="1" x14ac:dyDescent="0.2">
      <c r="A89" s="12"/>
      <c r="G89" s="4">
        <v>0</v>
      </c>
      <c r="H89" s="5">
        <f>G89*I29</f>
        <v>0</v>
      </c>
      <c r="J89" s="25"/>
    </row>
    <row r="90" spans="1:12" ht="16" hidden="1" thickBot="1" x14ac:dyDescent="0.25">
      <c r="A90" s="12"/>
      <c r="C90" s="28" t="s">
        <v>52</v>
      </c>
      <c r="D90" s="26"/>
      <c r="E90" s="26"/>
      <c r="F90" s="26"/>
      <c r="G90" s="26"/>
      <c r="H90" s="27"/>
      <c r="I90" s="27">
        <f>H89</f>
        <v>0</v>
      </c>
      <c r="J90" s="25"/>
    </row>
    <row r="91" spans="1:12" x14ac:dyDescent="0.2">
      <c r="A91" s="12"/>
      <c r="B91" t="s">
        <v>190</v>
      </c>
      <c r="C91" s="88">
        <v>0.05</v>
      </c>
      <c r="H91" s="21"/>
      <c r="I91" s="21">
        <f ca="1">I100*C91</f>
        <v>83284.589728558727</v>
      </c>
      <c r="J91" s="25"/>
    </row>
    <row r="92" spans="1:12" x14ac:dyDescent="0.2">
      <c r="A92" s="12"/>
      <c r="J92" s="25"/>
    </row>
    <row r="93" spans="1:12" x14ac:dyDescent="0.2">
      <c r="A93" s="12"/>
      <c r="B93" s="1" t="s">
        <v>60</v>
      </c>
      <c r="C93" s="1"/>
      <c r="D93" s="1"/>
      <c r="E93" s="1"/>
      <c r="F93" s="1"/>
      <c r="G93" s="1"/>
      <c r="H93" s="69"/>
      <c r="I93" s="70">
        <f ca="1">I90+I86+I72+I61+I55+I48+I33+I29+I23+I91</f>
        <v>4354749.7897285586</v>
      </c>
      <c r="J93" s="25"/>
    </row>
    <row r="94" spans="1:12" ht="16" thickBot="1" x14ac:dyDescent="0.25">
      <c r="J94" s="25"/>
    </row>
    <row r="95" spans="1:12" ht="16" thickBot="1" x14ac:dyDescent="0.25">
      <c r="A95" s="32"/>
      <c r="B95" s="17" t="s">
        <v>62</v>
      </c>
      <c r="C95" s="18"/>
      <c r="D95" s="18"/>
      <c r="E95" s="18"/>
      <c r="F95" s="18"/>
      <c r="G95" s="18"/>
      <c r="H95" s="19"/>
      <c r="I95" s="18"/>
      <c r="J95" s="20"/>
    </row>
    <row r="96" spans="1:12" x14ac:dyDescent="0.2">
      <c r="A96" s="33"/>
      <c r="B96" t="s">
        <v>157</v>
      </c>
      <c r="H96" s="37">
        <f>'Inputs &amp; Assumptions'!C27</f>
        <v>0.65</v>
      </c>
      <c r="I96" s="5">
        <f ca="1">I93*H96</f>
        <v>2830587.3633235632</v>
      </c>
      <c r="J96" s="77"/>
      <c r="K96" s="82">
        <f>12/20</f>
        <v>0.6</v>
      </c>
      <c r="L96" s="24"/>
    </row>
    <row r="97" spans="1:10" x14ac:dyDescent="0.2">
      <c r="A97" s="33"/>
      <c r="B97" t="s">
        <v>159</v>
      </c>
      <c r="H97" s="37"/>
      <c r="I97" s="5">
        <f>H96*C14</f>
        <v>13</v>
      </c>
      <c r="J97" s="25"/>
    </row>
    <row r="98" spans="1:10" x14ac:dyDescent="0.2">
      <c r="A98" s="33"/>
      <c r="B98" t="s">
        <v>196</v>
      </c>
      <c r="I98" s="5">
        <f ca="1">'Sales Detail'!K20</f>
        <v>2689057.9951573843</v>
      </c>
      <c r="J98" s="25"/>
    </row>
    <row r="99" spans="1:10" x14ac:dyDescent="0.2">
      <c r="A99" s="33"/>
      <c r="I99" s="5"/>
      <c r="J99" s="25"/>
    </row>
    <row r="100" spans="1:10" x14ac:dyDescent="0.2">
      <c r="A100" s="33"/>
      <c r="B100" t="s">
        <v>61</v>
      </c>
      <c r="I100" s="5">
        <f ca="1">I93-I98</f>
        <v>1665691.7945711743</v>
      </c>
      <c r="J100" s="25"/>
    </row>
    <row r="101" spans="1:10" ht="16" thickBot="1" x14ac:dyDescent="0.25">
      <c r="J101" s="25"/>
    </row>
    <row r="102" spans="1:10" ht="16" thickBot="1" x14ac:dyDescent="0.25">
      <c r="A102" s="34"/>
      <c r="B102" s="17" t="s">
        <v>63</v>
      </c>
      <c r="C102" s="18"/>
      <c r="D102" s="18"/>
      <c r="E102" s="18"/>
      <c r="F102" s="18"/>
      <c r="G102" s="18"/>
      <c r="H102" s="19"/>
      <c r="I102" s="18"/>
      <c r="J102" s="20"/>
    </row>
    <row r="103" spans="1:10" x14ac:dyDescent="0.2">
      <c r="A103" s="35"/>
      <c r="B103" t="s">
        <v>66</v>
      </c>
      <c r="J103" s="25"/>
    </row>
    <row r="104" spans="1:10" ht="30" customHeight="1" x14ac:dyDescent="0.2">
      <c r="A104" s="35"/>
      <c r="C104" t="s">
        <v>160</v>
      </c>
      <c r="G104" s="57"/>
      <c r="H104" s="38">
        <f>'Sales Detail'!I39</f>
        <v>6420000</v>
      </c>
      <c r="J104" s="68"/>
    </row>
    <row r="105" spans="1:10" x14ac:dyDescent="0.2">
      <c r="A105" s="35"/>
      <c r="C105" t="s">
        <v>161</v>
      </c>
      <c r="D105" s="4">
        <v>0.05</v>
      </c>
      <c r="H105" s="38">
        <f>H104*D105</f>
        <v>321000</v>
      </c>
      <c r="J105" s="68"/>
    </row>
    <row r="106" spans="1:10" x14ac:dyDescent="0.2">
      <c r="A106" s="35"/>
      <c r="C106" t="s">
        <v>158</v>
      </c>
      <c r="H106" s="38">
        <f>H104-H105</f>
        <v>6099000</v>
      </c>
      <c r="J106" s="68"/>
    </row>
    <row r="107" spans="1:10" x14ac:dyDescent="0.2">
      <c r="A107" s="35"/>
      <c r="H107" s="38"/>
      <c r="J107" s="68"/>
    </row>
    <row r="108" spans="1:10" x14ac:dyDescent="0.2">
      <c r="A108" s="35"/>
      <c r="H108" s="38"/>
      <c r="J108" s="68"/>
    </row>
    <row r="109" spans="1:10" x14ac:dyDescent="0.2">
      <c r="A109" s="35"/>
      <c r="B109" s="36" t="s">
        <v>64</v>
      </c>
      <c r="H109" s="38"/>
      <c r="I109" s="64">
        <f>H106</f>
        <v>6099000</v>
      </c>
      <c r="J109" s="68"/>
    </row>
    <row r="110" spans="1:10" x14ac:dyDescent="0.2">
      <c r="A110" s="35"/>
      <c r="H110" s="38"/>
      <c r="J110" s="68"/>
    </row>
    <row r="111" spans="1:10" x14ac:dyDescent="0.2">
      <c r="A111" s="35"/>
      <c r="B111" t="s">
        <v>65</v>
      </c>
      <c r="I111" s="23">
        <f ca="1">I93</f>
        <v>4354749.7897285586</v>
      </c>
      <c r="J111" s="68"/>
    </row>
    <row r="112" spans="1:10" x14ac:dyDescent="0.2">
      <c r="A112" s="35"/>
      <c r="J112" s="68"/>
    </row>
    <row r="113" spans="1:12" ht="30" customHeight="1" thickBot="1" x14ac:dyDescent="0.25">
      <c r="A113" s="35"/>
      <c r="B113" t="s">
        <v>67</v>
      </c>
      <c r="I113" s="65">
        <f ca="1">I109-I111</f>
        <v>1744250.2102714414</v>
      </c>
      <c r="J113" s="68"/>
      <c r="L113" s="23"/>
    </row>
    <row r="114" spans="1:12" x14ac:dyDescent="0.2">
      <c r="A114" s="35"/>
      <c r="B114" s="6" t="s">
        <v>69</v>
      </c>
      <c r="I114" s="37">
        <f ca="1">I113/I111</f>
        <v>0.40053970824812057</v>
      </c>
      <c r="J114" s="68"/>
    </row>
    <row r="115" spans="1:12" x14ac:dyDescent="0.2">
      <c r="A115" s="35"/>
      <c r="B115" s="6" t="s">
        <v>68</v>
      </c>
      <c r="I115" s="37">
        <f ca="1">I113/I100</f>
        <v>1.0471626359427986</v>
      </c>
      <c r="J115" s="25"/>
    </row>
    <row r="116" spans="1:12" x14ac:dyDescent="0.2">
      <c r="A116" s="35"/>
    </row>
    <row r="117" spans="1:12" x14ac:dyDescent="0.2">
      <c r="A117" s="35"/>
      <c r="B117" t="s">
        <v>116</v>
      </c>
      <c r="C117" s="4">
        <v>0.08</v>
      </c>
      <c r="I117" s="5">
        <f ca="1">((I100*C117)/12)*'Inputs &amp; Assumptions'!C29</f>
        <v>222092.23927615659</v>
      </c>
    </row>
    <row r="118" spans="1:12" x14ac:dyDescent="0.2">
      <c r="A118" s="35"/>
    </row>
    <row r="119" spans="1:12" ht="16" thickBot="1" x14ac:dyDescent="0.25">
      <c r="A119" s="35"/>
      <c r="B119" t="s">
        <v>119</v>
      </c>
      <c r="I119" s="65">
        <f ca="1">I113-I117</f>
        <v>1522157.9709952848</v>
      </c>
    </row>
    <row r="120" spans="1:12" x14ac:dyDescent="0.2">
      <c r="A120" s="35"/>
      <c r="B120" t="s">
        <v>120</v>
      </c>
      <c r="C120" s="4">
        <f>'Inputs &amp; Assumptions'!C36</f>
        <v>0.5</v>
      </c>
      <c r="I120" s="23">
        <f ca="1">I119*C120</f>
        <v>761078.98549764242</v>
      </c>
    </row>
    <row r="121" spans="1:12" x14ac:dyDescent="0.2">
      <c r="A121" s="35"/>
      <c r="B121" t="s">
        <v>125</v>
      </c>
      <c r="C121" s="4">
        <f>1-C120</f>
        <v>0.5</v>
      </c>
      <c r="I121" s="23">
        <f ca="1">I119*C121</f>
        <v>761078.98549764242</v>
      </c>
    </row>
    <row r="122" spans="1:12" x14ac:dyDescent="0.2">
      <c r="A122" s="35"/>
    </row>
    <row r="123" spans="1:12" x14ac:dyDescent="0.2">
      <c r="A123" s="35"/>
      <c r="B123" t="s">
        <v>170</v>
      </c>
      <c r="I123" s="23">
        <f ca="1">I120+I117</f>
        <v>983171.22477379907</v>
      </c>
    </row>
    <row r="124" spans="1:12" x14ac:dyDescent="0.2">
      <c r="A124" s="35"/>
      <c r="I124" s="23"/>
    </row>
    <row r="125" spans="1:12" x14ac:dyDescent="0.2">
      <c r="A125" s="35"/>
      <c r="B125" t="s">
        <v>171</v>
      </c>
      <c r="I125" s="7">
        <f ca="1">I123/I100</f>
        <v>0.59024798463806605</v>
      </c>
    </row>
    <row r="126" spans="1:12" x14ac:dyDescent="0.2">
      <c r="A126" s="35"/>
    </row>
    <row r="127" spans="1:12" x14ac:dyDescent="0.2">
      <c r="A127" s="35"/>
      <c r="B127" t="s">
        <v>197</v>
      </c>
      <c r="I127" s="76">
        <f ca="1">'Cash Flow'!E99</f>
        <v>0.32173513770103457</v>
      </c>
    </row>
  </sheetData>
  <mergeCells count="1">
    <mergeCell ref="F1:H1"/>
  </mergeCells>
  <pageMargins left="0.70866141732283472" right="0.70866141732283472" top="0.74803149606299213" bottom="0.74803149606299213" header="0.31496062992125984" footer="0.31496062992125984"/>
  <pageSetup scale="4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9DBDD-1DD9-4FC7-B2B6-0C09BA16F86F}">
  <dimension ref="A1:AY99"/>
  <sheetViews>
    <sheetView zoomScale="60" zoomScaleNormal="60" workbookViewId="0">
      <selection activeCell="J62" sqref="J62"/>
    </sheetView>
  </sheetViews>
  <sheetFormatPr baseColWidth="10" defaultColWidth="8.83203125" defaultRowHeight="15" outlineLevelRow="1" x14ac:dyDescent="0.2"/>
  <cols>
    <col min="3" max="3" width="21.6640625" customWidth="1"/>
    <col min="4" max="4" width="9.6640625" bestFit="1" customWidth="1"/>
    <col min="5" max="5" width="16.5" customWidth="1"/>
    <col min="6" max="6" width="16.6640625" customWidth="1"/>
    <col min="7" max="7" width="10.6640625" bestFit="1" customWidth="1"/>
    <col min="8" max="8" width="14.6640625" style="5" bestFit="1" customWidth="1"/>
    <col min="10" max="10" width="18.33203125" customWidth="1"/>
    <col min="11" max="11" width="13.83203125" style="5" bestFit="1" customWidth="1"/>
    <col min="12" max="12" width="19.1640625" style="5" customWidth="1"/>
    <col min="13" max="13" width="18" style="5" customWidth="1"/>
    <col min="14" max="14" width="15.83203125" style="5" customWidth="1"/>
    <col min="15" max="15" width="16" style="5" customWidth="1"/>
    <col min="16" max="16" width="14.5" style="5" customWidth="1"/>
    <col min="17" max="17" width="15.1640625" style="5" customWidth="1"/>
    <col min="18" max="18" width="15.5" style="5" customWidth="1"/>
    <col min="19" max="19" width="15.6640625" style="5" customWidth="1"/>
    <col min="20" max="20" width="15.5" style="5" customWidth="1"/>
    <col min="21" max="23" width="14.33203125" style="5" bestFit="1" customWidth="1"/>
    <col min="24" max="27" width="13.6640625" style="5" bestFit="1" customWidth="1"/>
    <col min="28" max="34" width="13.6640625" style="5" customWidth="1"/>
    <col min="35" max="35" width="14.1640625" style="5" customWidth="1"/>
    <col min="36" max="37" width="14" style="5" customWidth="1"/>
    <col min="38" max="38" width="15.33203125" style="5" customWidth="1"/>
    <col min="39" max="39" width="13.5" style="5" customWidth="1"/>
    <col min="40" max="40" width="21.6640625" style="5" customWidth="1"/>
    <col min="41" max="45" width="13.5" style="5" customWidth="1"/>
    <col min="46" max="46" width="9.6640625" style="5" customWidth="1"/>
    <col min="47" max="47" width="17.5" style="5" customWidth="1"/>
    <col min="49" max="49" width="6.33203125" bestFit="1" customWidth="1"/>
  </cols>
  <sheetData>
    <row r="1" spans="1:49" ht="21" x14ac:dyDescent="0.2">
      <c r="A1" s="8" t="s">
        <v>75</v>
      </c>
      <c r="B1" s="8"/>
      <c r="C1" s="8"/>
      <c r="D1" s="8"/>
      <c r="E1" s="8"/>
      <c r="F1" s="106"/>
      <c r="G1" s="106"/>
      <c r="H1" s="106"/>
      <c r="I1" s="9"/>
      <c r="J1" s="9"/>
      <c r="K1" s="10"/>
      <c r="L1" s="10"/>
      <c r="M1" s="10"/>
      <c r="N1" s="10"/>
      <c r="O1" s="1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</row>
    <row r="2" spans="1:49" x14ac:dyDescent="0.2">
      <c r="A2" s="29"/>
      <c r="B2" t="s">
        <v>18</v>
      </c>
      <c r="C2" t="str">
        <f>'Development Proforma'!C2</f>
        <v>Seseh Project</v>
      </c>
      <c r="G2" t="s">
        <v>21</v>
      </c>
      <c r="H2" s="5" t="s">
        <v>22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</row>
    <row r="3" spans="1:49" x14ac:dyDescent="0.2">
      <c r="A3" s="30"/>
      <c r="B3" t="s">
        <v>19</v>
      </c>
      <c r="C3" t="s">
        <v>20</v>
      </c>
      <c r="G3" t="s">
        <v>23</v>
      </c>
      <c r="H3" s="38" t="str">
        <f>'Development Proforma'!H3</f>
        <v>TBD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</row>
    <row r="4" spans="1:49" ht="16" thickBot="1" x14ac:dyDescent="0.25">
      <c r="A4" s="29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</row>
    <row r="5" spans="1:49" ht="16" thickBot="1" x14ac:dyDescent="0.25">
      <c r="B5" s="1" t="s">
        <v>70</v>
      </c>
      <c r="H5"/>
      <c r="K5"/>
      <c r="L5" s="14"/>
      <c r="M5" s="14"/>
      <c r="N5" s="14"/>
      <c r="O5" s="1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</row>
    <row r="6" spans="1:49" x14ac:dyDescent="0.2">
      <c r="C6" t="s">
        <v>71</v>
      </c>
      <c r="D6" s="40">
        <v>46174</v>
      </c>
      <c r="H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</row>
    <row r="7" spans="1:49" x14ac:dyDescent="0.2">
      <c r="C7" t="s">
        <v>72</v>
      </c>
      <c r="D7">
        <v>11</v>
      </c>
      <c r="E7" t="s">
        <v>86</v>
      </c>
      <c r="H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</row>
    <row r="8" spans="1:49" x14ac:dyDescent="0.2">
      <c r="C8" t="s">
        <v>73</v>
      </c>
      <c r="D8">
        <v>12</v>
      </c>
      <c r="E8" t="s">
        <v>86</v>
      </c>
      <c r="H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</row>
    <row r="9" spans="1:49" x14ac:dyDescent="0.2">
      <c r="H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</row>
    <row r="10" spans="1:49" x14ac:dyDescent="0.2">
      <c r="H10"/>
      <c r="J10">
        <v>0</v>
      </c>
      <c r="K10">
        <v>1</v>
      </c>
      <c r="L10">
        <v>2</v>
      </c>
      <c r="M10">
        <v>3</v>
      </c>
      <c r="N10">
        <v>4</v>
      </c>
      <c r="O10">
        <v>5</v>
      </c>
      <c r="P10">
        <v>6</v>
      </c>
      <c r="Q10">
        <v>7</v>
      </c>
      <c r="R10">
        <v>8</v>
      </c>
      <c r="S10">
        <v>9</v>
      </c>
      <c r="T10">
        <v>10</v>
      </c>
      <c r="U10">
        <v>11</v>
      </c>
      <c r="V10">
        <v>12</v>
      </c>
      <c r="W10">
        <v>13</v>
      </c>
      <c r="X10">
        <v>14</v>
      </c>
      <c r="Y10">
        <v>15</v>
      </c>
      <c r="Z10">
        <v>16</v>
      </c>
      <c r="AA10">
        <v>17</v>
      </c>
      <c r="AB10">
        <v>18</v>
      </c>
      <c r="AC10">
        <v>19</v>
      </c>
      <c r="AD10">
        <v>20</v>
      </c>
      <c r="AE10">
        <v>21</v>
      </c>
      <c r="AF10">
        <v>22</v>
      </c>
      <c r="AG10">
        <v>23</v>
      </c>
      <c r="AH10">
        <v>24</v>
      </c>
      <c r="AI10">
        <v>25</v>
      </c>
      <c r="AJ10">
        <v>26</v>
      </c>
      <c r="AK10">
        <v>27</v>
      </c>
      <c r="AL10">
        <v>28</v>
      </c>
      <c r="AM10">
        <v>29</v>
      </c>
      <c r="AN10">
        <v>30</v>
      </c>
      <c r="AO10">
        <v>31</v>
      </c>
      <c r="AP10">
        <v>32</v>
      </c>
      <c r="AQ10">
        <v>33</v>
      </c>
      <c r="AR10">
        <v>34</v>
      </c>
      <c r="AS10">
        <v>33</v>
      </c>
      <c r="AT10"/>
      <c r="AU10" t="s">
        <v>87</v>
      </c>
      <c r="AW10" t="s">
        <v>88</v>
      </c>
    </row>
    <row r="11" spans="1:49" x14ac:dyDescent="0.2">
      <c r="H11"/>
      <c r="J11" s="48">
        <v>46054</v>
      </c>
      <c r="K11" s="48">
        <v>46082</v>
      </c>
      <c r="L11" s="48">
        <v>46113</v>
      </c>
      <c r="M11" s="48">
        <v>46143</v>
      </c>
      <c r="N11" s="48">
        <v>46174</v>
      </c>
      <c r="O11" s="48">
        <v>46204</v>
      </c>
      <c r="P11" s="48">
        <v>46235</v>
      </c>
      <c r="Q11" s="48">
        <v>46266</v>
      </c>
      <c r="R11" s="48">
        <v>46296</v>
      </c>
      <c r="S11" s="48">
        <v>46327</v>
      </c>
      <c r="T11" s="48">
        <v>46357</v>
      </c>
      <c r="U11" s="48">
        <v>46388</v>
      </c>
      <c r="V11" s="48">
        <v>46419</v>
      </c>
      <c r="W11" s="48">
        <v>46447</v>
      </c>
      <c r="X11" s="48">
        <v>46478</v>
      </c>
      <c r="Y11" s="48">
        <v>46508</v>
      </c>
      <c r="Z11" s="48">
        <v>46539</v>
      </c>
      <c r="AA11" s="48">
        <v>46569</v>
      </c>
      <c r="AB11" s="48">
        <v>46600</v>
      </c>
      <c r="AC11" s="48">
        <v>46631</v>
      </c>
      <c r="AD11" s="48">
        <v>46661</v>
      </c>
      <c r="AE11" s="48">
        <v>46692</v>
      </c>
      <c r="AF11" s="48">
        <v>46722</v>
      </c>
      <c r="AG11" s="48">
        <v>46753</v>
      </c>
      <c r="AH11" s="48">
        <v>46784</v>
      </c>
      <c r="AI11" s="48">
        <v>46813</v>
      </c>
      <c r="AJ11" s="48">
        <v>46844</v>
      </c>
      <c r="AK11" s="48">
        <v>46874</v>
      </c>
      <c r="AL11" s="48">
        <v>46905</v>
      </c>
      <c r="AM11" s="48">
        <v>46935</v>
      </c>
      <c r="AN11" s="48">
        <v>46966</v>
      </c>
      <c r="AO11" s="48">
        <v>46997</v>
      </c>
      <c r="AP11" s="48">
        <v>47027</v>
      </c>
      <c r="AQ11" s="48">
        <v>47058</v>
      </c>
      <c r="AR11" s="48">
        <v>47088</v>
      </c>
      <c r="AS11" s="48">
        <v>47119</v>
      </c>
      <c r="AT11"/>
      <c r="AU11"/>
    </row>
    <row r="12" spans="1:49" s="41" customFormat="1" ht="16" thickBot="1" x14ac:dyDescent="0.25">
      <c r="A12" s="42"/>
      <c r="B12" s="43" t="s">
        <v>76</v>
      </c>
      <c r="C12" s="44"/>
      <c r="D12" s="44"/>
      <c r="E12" s="44"/>
      <c r="F12" s="44"/>
      <c r="G12" s="44"/>
      <c r="H12" s="45"/>
      <c r="I12" s="44"/>
      <c r="J12" s="44"/>
      <c r="K12" s="44"/>
      <c r="L12" s="44"/>
      <c r="M12" s="44"/>
      <c r="N12" s="44"/>
      <c r="O12" s="45"/>
      <c r="P12" s="45"/>
      <c r="Q12" s="44"/>
      <c r="R12" s="44"/>
      <c r="S12" s="44"/>
      <c r="T12" s="45"/>
      <c r="U12" s="44"/>
      <c r="V12" s="44"/>
      <c r="W12" s="44"/>
      <c r="X12" s="45"/>
      <c r="Y12" s="44"/>
      <c r="Z12" s="44"/>
      <c r="AA12" s="44"/>
      <c r="AB12" s="45"/>
      <c r="AC12" s="44"/>
      <c r="AD12" s="44"/>
      <c r="AE12" s="44"/>
      <c r="AF12" s="45"/>
      <c r="AG12" s="44"/>
      <c r="AH12" s="44"/>
      <c r="AI12" s="44"/>
      <c r="AJ12" s="45"/>
      <c r="AK12" s="44"/>
      <c r="AL12" s="44"/>
      <c r="AM12" s="44"/>
      <c r="AN12" s="45"/>
      <c r="AO12" s="44"/>
      <c r="AP12" s="44"/>
      <c r="AQ12" s="44"/>
      <c r="AR12" s="45"/>
      <c r="AS12" s="44"/>
    </row>
    <row r="13" spans="1:49" x14ac:dyDescent="0.2">
      <c r="A13" s="12"/>
      <c r="H13" s="21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</row>
    <row r="14" spans="1:49" x14ac:dyDescent="0.2">
      <c r="A14" s="12"/>
      <c r="B14" t="s">
        <v>33</v>
      </c>
      <c r="H14" s="21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</row>
    <row r="15" spans="1:49" x14ac:dyDescent="0.2">
      <c r="A15" s="12"/>
      <c r="C15" t="str">
        <f>'Development Proforma'!C18</f>
        <v>Land Cost</v>
      </c>
      <c r="H15" s="93">
        <f>'Development Proforma'!H18</f>
        <v>400000</v>
      </c>
      <c r="I15" s="91"/>
      <c r="J15" s="94"/>
      <c r="K15" s="94"/>
      <c r="L15" s="94"/>
      <c r="M15" s="94">
        <f>H15</f>
        <v>400000</v>
      </c>
      <c r="N15" s="94"/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U15" s="5">
        <f>SUM(J15:AS15)</f>
        <v>400000</v>
      </c>
      <c r="AW15" t="str">
        <f>IF(AU15=H15,"Y", "Error")</f>
        <v>Y</v>
      </c>
    </row>
    <row r="16" spans="1:49" hidden="1" x14ac:dyDescent="0.2">
      <c r="A16" s="12"/>
      <c r="C16" t="s">
        <v>34</v>
      </c>
      <c r="H16" s="93">
        <f>'Development Proforma'!H19</f>
        <v>0</v>
      </c>
      <c r="I16" s="91"/>
      <c r="J16" s="91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U16" s="5">
        <f t="shared" ref="AU16:AU57" si="0">SUM(J16:AS16)</f>
        <v>0</v>
      </c>
      <c r="AW16" t="str">
        <f>IF(AU16=H16,"Y", "Error")</f>
        <v>Y</v>
      </c>
    </row>
    <row r="17" spans="1:49" x14ac:dyDescent="0.2">
      <c r="A17" s="12"/>
      <c r="C17" t="s">
        <v>35</v>
      </c>
      <c r="H17" s="93">
        <f>'Development Proforma'!H20</f>
        <v>0</v>
      </c>
      <c r="I17" s="91"/>
      <c r="J17" s="91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U17" s="5">
        <f t="shared" si="0"/>
        <v>0</v>
      </c>
      <c r="AW17" t="str">
        <f>IF(AU17=H17,"Y", "Error")</f>
        <v>Y</v>
      </c>
    </row>
    <row r="18" spans="1:49" hidden="1" x14ac:dyDescent="0.2">
      <c r="A18" s="12"/>
      <c r="C18" t="s">
        <v>36</v>
      </c>
      <c r="H18" s="93">
        <f>'Development Proforma'!H21</f>
        <v>0</v>
      </c>
      <c r="I18" s="91"/>
      <c r="J18" s="91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U18" s="5">
        <f t="shared" si="0"/>
        <v>0</v>
      </c>
      <c r="AW18" t="str">
        <f>IF(AU18=H18,"Y", "Error")</f>
        <v>Y</v>
      </c>
    </row>
    <row r="19" spans="1:49" x14ac:dyDescent="0.2">
      <c r="A19" s="12"/>
      <c r="B19" t="s">
        <v>37</v>
      </c>
      <c r="H19" s="93"/>
      <c r="I19" s="91"/>
      <c r="J19" s="91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U19" s="5">
        <f t="shared" si="0"/>
        <v>0</v>
      </c>
    </row>
    <row r="20" spans="1:49" x14ac:dyDescent="0.2">
      <c r="A20" s="12"/>
      <c r="C20" t="s">
        <v>39</v>
      </c>
      <c r="G20" s="24"/>
      <c r="H20" s="93">
        <f>'Development Proforma'!H26</f>
        <v>2952000</v>
      </c>
      <c r="I20" s="91"/>
      <c r="J20" s="91"/>
      <c r="K20" s="94"/>
      <c r="L20" s="94"/>
      <c r="M20" s="94"/>
      <c r="N20" s="94">
        <f>$H$20/$D$8</f>
        <v>246000</v>
      </c>
      <c r="O20" s="94">
        <f t="shared" ref="O20:Y20" si="1">$H$20/$D$8</f>
        <v>246000</v>
      </c>
      <c r="P20" s="94">
        <f t="shared" si="1"/>
        <v>246000</v>
      </c>
      <c r="Q20" s="94">
        <f t="shared" si="1"/>
        <v>246000</v>
      </c>
      <c r="R20" s="94">
        <f t="shared" si="1"/>
        <v>246000</v>
      </c>
      <c r="S20" s="94">
        <f t="shared" si="1"/>
        <v>246000</v>
      </c>
      <c r="T20" s="94">
        <f t="shared" si="1"/>
        <v>246000</v>
      </c>
      <c r="U20" s="94">
        <f t="shared" si="1"/>
        <v>246000</v>
      </c>
      <c r="V20" s="94">
        <f t="shared" si="1"/>
        <v>246000</v>
      </c>
      <c r="W20" s="94">
        <f t="shared" si="1"/>
        <v>246000</v>
      </c>
      <c r="X20" s="94">
        <f t="shared" si="1"/>
        <v>246000</v>
      </c>
      <c r="Y20" s="94">
        <f t="shared" si="1"/>
        <v>246000</v>
      </c>
      <c r="Z20" s="94"/>
      <c r="AA20" s="94"/>
      <c r="AB20" s="94"/>
      <c r="AC20" s="94"/>
      <c r="AD20" s="94"/>
      <c r="AU20" s="5">
        <f t="shared" si="0"/>
        <v>2952000</v>
      </c>
      <c r="AW20" t="str">
        <f>IF(AU20=H20,"Y", "Error")</f>
        <v>Y</v>
      </c>
    </row>
    <row r="21" spans="1:49" x14ac:dyDescent="0.2">
      <c r="A21" s="12"/>
      <c r="H21" s="93"/>
      <c r="I21" s="91"/>
      <c r="J21" s="91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U21" s="5">
        <f t="shared" si="0"/>
        <v>0</v>
      </c>
      <c r="AW21" t="str">
        <f>IF(AU21=H21,"Y", "Error")</f>
        <v>Y</v>
      </c>
    </row>
    <row r="22" spans="1:49" hidden="1" x14ac:dyDescent="0.2">
      <c r="A22" s="12"/>
      <c r="C22" t="s">
        <v>43</v>
      </c>
      <c r="H22" s="93">
        <f>'Development Proforma'!H39</f>
        <v>0</v>
      </c>
      <c r="I22" s="91"/>
      <c r="J22" s="91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U22" s="5">
        <f t="shared" si="0"/>
        <v>0</v>
      </c>
      <c r="AW22" t="str">
        <f t="shared" ref="AW22:AW34" si="2">IF(AU22=H22,"Y", "Error")</f>
        <v>Y</v>
      </c>
    </row>
    <row r="23" spans="1:49" hidden="1" x14ac:dyDescent="0.2">
      <c r="A23" s="12"/>
      <c r="C23" t="s">
        <v>44</v>
      </c>
      <c r="H23" s="93">
        <f>'Development Proforma'!H40</f>
        <v>0</v>
      </c>
      <c r="I23" s="91"/>
      <c r="J23" s="91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U23" s="5">
        <f t="shared" si="0"/>
        <v>0</v>
      </c>
      <c r="AW23" t="str">
        <f t="shared" si="2"/>
        <v>Y</v>
      </c>
    </row>
    <row r="24" spans="1:49" hidden="1" x14ac:dyDescent="0.2">
      <c r="A24" s="12"/>
      <c r="C24" t="s">
        <v>45</v>
      </c>
      <c r="H24" s="93">
        <f>'Development Proforma'!H41</f>
        <v>0</v>
      </c>
      <c r="I24" s="91"/>
      <c r="J24" s="91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U24" s="5">
        <f t="shared" si="0"/>
        <v>0</v>
      </c>
      <c r="AW24" t="str">
        <f t="shared" si="2"/>
        <v>Y</v>
      </c>
    </row>
    <row r="25" spans="1:49" hidden="1" x14ac:dyDescent="0.2">
      <c r="A25" s="12"/>
      <c r="C25" t="s">
        <v>46</v>
      </c>
      <c r="H25" s="93">
        <f>'Development Proforma'!H42</f>
        <v>0</v>
      </c>
      <c r="I25" s="91"/>
      <c r="J25" s="91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U25" s="5">
        <f t="shared" si="0"/>
        <v>0</v>
      </c>
      <c r="AW25" t="str">
        <f t="shared" si="2"/>
        <v>Y</v>
      </c>
    </row>
    <row r="26" spans="1:49" hidden="1" x14ac:dyDescent="0.2">
      <c r="A26" s="12"/>
      <c r="C26" t="s">
        <v>47</v>
      </c>
      <c r="H26" s="93">
        <f>'Development Proforma'!H43</f>
        <v>0</v>
      </c>
      <c r="I26" s="91"/>
      <c r="J26" s="91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U26" s="5">
        <f t="shared" si="0"/>
        <v>0</v>
      </c>
      <c r="AW26" t="str">
        <f t="shared" si="2"/>
        <v>Y</v>
      </c>
    </row>
    <row r="27" spans="1:49" hidden="1" x14ac:dyDescent="0.2">
      <c r="A27" s="12"/>
      <c r="C27" t="s">
        <v>48</v>
      </c>
      <c r="H27" s="93">
        <f>'Development Proforma'!H44</f>
        <v>0</v>
      </c>
      <c r="I27" s="91"/>
      <c r="J27" s="91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U27" s="5">
        <f t="shared" si="0"/>
        <v>0</v>
      </c>
      <c r="AW27" t="str">
        <f t="shared" si="2"/>
        <v>Y</v>
      </c>
    </row>
    <row r="28" spans="1:49" hidden="1" x14ac:dyDescent="0.2">
      <c r="A28" s="12"/>
      <c r="C28" t="s">
        <v>49</v>
      </c>
      <c r="H28" s="93">
        <f>'Development Proforma'!H45</f>
        <v>0</v>
      </c>
      <c r="I28" s="91"/>
      <c r="J28" s="91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U28" s="5">
        <f t="shared" si="0"/>
        <v>0</v>
      </c>
      <c r="AW28" t="str">
        <f t="shared" si="2"/>
        <v>Y</v>
      </c>
    </row>
    <row r="29" spans="1:49" hidden="1" x14ac:dyDescent="0.2">
      <c r="A29" s="12"/>
      <c r="C29" t="s">
        <v>50</v>
      </c>
      <c r="H29" s="93">
        <f>'Development Proforma'!H46</f>
        <v>0</v>
      </c>
      <c r="I29" s="91"/>
      <c r="J29" s="91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U29" s="5">
        <f t="shared" si="0"/>
        <v>0</v>
      </c>
      <c r="AW29" t="str">
        <f t="shared" si="2"/>
        <v>Y</v>
      </c>
    </row>
    <row r="30" spans="1:49" hidden="1" x14ac:dyDescent="0.2">
      <c r="A30" s="12"/>
      <c r="C30" t="s">
        <v>51</v>
      </c>
      <c r="H30" s="93">
        <f>'Development Proforma'!H46</f>
        <v>0</v>
      </c>
      <c r="I30" s="91"/>
      <c r="J30" s="91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U30" s="5">
        <f t="shared" si="0"/>
        <v>0</v>
      </c>
      <c r="AW30" t="str">
        <f t="shared" si="2"/>
        <v>Y</v>
      </c>
    </row>
    <row r="31" spans="1:49" hidden="1" x14ac:dyDescent="0.2">
      <c r="A31" s="12"/>
      <c r="B31" t="s">
        <v>53</v>
      </c>
      <c r="H31" s="93"/>
      <c r="I31" s="91"/>
      <c r="J31" s="91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U31" s="5">
        <f t="shared" si="0"/>
        <v>0</v>
      </c>
      <c r="AW31" t="str">
        <f t="shared" si="2"/>
        <v>Y</v>
      </c>
    </row>
    <row r="32" spans="1:49" hidden="1" x14ac:dyDescent="0.2">
      <c r="A32" s="12"/>
      <c r="C32" t="s">
        <v>54</v>
      </c>
      <c r="H32" s="93">
        <f>'Development Proforma'!H51</f>
        <v>0</v>
      </c>
      <c r="I32" s="91"/>
      <c r="J32" s="91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U32" s="5">
        <f t="shared" si="0"/>
        <v>0</v>
      </c>
      <c r="AW32" t="str">
        <f t="shared" si="2"/>
        <v>Y</v>
      </c>
    </row>
    <row r="33" spans="1:49" hidden="1" x14ac:dyDescent="0.2">
      <c r="A33" s="12"/>
      <c r="C33" t="s">
        <v>55</v>
      </c>
      <c r="H33" s="93">
        <f>'Development Proforma'!H52</f>
        <v>0</v>
      </c>
      <c r="I33" s="91"/>
      <c r="J33" s="91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U33" s="5">
        <f t="shared" si="0"/>
        <v>0</v>
      </c>
      <c r="AW33" t="str">
        <f t="shared" si="2"/>
        <v>Y</v>
      </c>
    </row>
    <row r="34" spans="1:49" hidden="1" x14ac:dyDescent="0.2">
      <c r="A34" s="12"/>
      <c r="C34" t="s">
        <v>56</v>
      </c>
      <c r="H34" s="93">
        <f>'Development Proforma'!H53</f>
        <v>0</v>
      </c>
      <c r="I34" s="91"/>
      <c r="J34" s="91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U34" s="5">
        <f t="shared" si="0"/>
        <v>0</v>
      </c>
      <c r="AW34" t="str">
        <f t="shared" si="2"/>
        <v>Y</v>
      </c>
    </row>
    <row r="35" spans="1:49" x14ac:dyDescent="0.2">
      <c r="A35" s="12"/>
      <c r="B35" t="s">
        <v>57</v>
      </c>
      <c r="H35" s="93"/>
      <c r="I35" s="91"/>
      <c r="J35" s="91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U35" s="5">
        <f t="shared" si="0"/>
        <v>0</v>
      </c>
    </row>
    <row r="36" spans="1:49" x14ac:dyDescent="0.2">
      <c r="A36" s="12"/>
      <c r="C36" t="s">
        <v>12</v>
      </c>
      <c r="G36" s="4"/>
      <c r="H36" s="93">
        <f>'Development Proforma'!H58</f>
        <v>321000</v>
      </c>
      <c r="I36" s="91"/>
      <c r="J36" s="91"/>
      <c r="K36" s="91"/>
      <c r="L36" s="91"/>
      <c r="M36" s="91">
        <f>H36*0.5</f>
        <v>160500</v>
      </c>
      <c r="N36" s="91">
        <f>($H$36-$M$36)/12</f>
        <v>13375</v>
      </c>
      <c r="O36" s="91">
        <f t="shared" ref="O36:Y36" si="3">($H$36-$M$36)/12</f>
        <v>13375</v>
      </c>
      <c r="P36" s="91">
        <f t="shared" si="3"/>
        <v>13375</v>
      </c>
      <c r="Q36" s="91">
        <f t="shared" si="3"/>
        <v>13375</v>
      </c>
      <c r="R36" s="91">
        <f t="shared" si="3"/>
        <v>13375</v>
      </c>
      <c r="S36" s="91">
        <f t="shared" si="3"/>
        <v>13375</v>
      </c>
      <c r="T36" s="91">
        <f t="shared" si="3"/>
        <v>13375</v>
      </c>
      <c r="U36" s="91">
        <f t="shared" si="3"/>
        <v>13375</v>
      </c>
      <c r="V36" s="91">
        <f t="shared" si="3"/>
        <v>13375</v>
      </c>
      <c r="W36" s="91">
        <f t="shared" si="3"/>
        <v>13375</v>
      </c>
      <c r="X36" s="91">
        <f t="shared" si="3"/>
        <v>13375</v>
      </c>
      <c r="Y36" s="91">
        <f t="shared" si="3"/>
        <v>13375</v>
      </c>
      <c r="Z36" s="91"/>
      <c r="AA36" s="94"/>
      <c r="AB36" s="94"/>
      <c r="AC36" s="94"/>
      <c r="AD36" s="94"/>
      <c r="AU36" s="5">
        <f t="shared" si="0"/>
        <v>321000</v>
      </c>
      <c r="AW36" t="str">
        <f>IF(AU36=H36,"Y", "Error")</f>
        <v>Y</v>
      </c>
    </row>
    <row r="37" spans="1:49" x14ac:dyDescent="0.2">
      <c r="A37" s="12"/>
      <c r="C37" t="s">
        <v>13</v>
      </c>
      <c r="G37" s="7"/>
      <c r="H37" s="93">
        <f>'Development Proforma'!H59</f>
        <v>128400</v>
      </c>
      <c r="I37" s="91"/>
      <c r="J37" s="91">
        <f>$H$37/17</f>
        <v>7552.9411764705883</v>
      </c>
      <c r="K37" s="91">
        <f>$H$37/17</f>
        <v>7552.9411764705883</v>
      </c>
      <c r="L37" s="91">
        <f t="shared" ref="L37:Z37" si="4">$H$37/17</f>
        <v>7552.9411764705883</v>
      </c>
      <c r="M37" s="91">
        <f t="shared" si="4"/>
        <v>7552.9411764705883</v>
      </c>
      <c r="N37" s="91">
        <f t="shared" si="4"/>
        <v>7552.9411764705883</v>
      </c>
      <c r="O37" s="91">
        <f t="shared" si="4"/>
        <v>7552.9411764705883</v>
      </c>
      <c r="P37" s="91">
        <f t="shared" si="4"/>
        <v>7552.9411764705883</v>
      </c>
      <c r="Q37" s="91">
        <f t="shared" si="4"/>
        <v>7552.9411764705883</v>
      </c>
      <c r="R37" s="91">
        <f t="shared" si="4"/>
        <v>7552.9411764705883</v>
      </c>
      <c r="S37" s="91">
        <f t="shared" si="4"/>
        <v>7552.9411764705883</v>
      </c>
      <c r="T37" s="91">
        <f t="shared" si="4"/>
        <v>7552.9411764705883</v>
      </c>
      <c r="U37" s="91">
        <f t="shared" si="4"/>
        <v>7552.9411764705883</v>
      </c>
      <c r="V37" s="91">
        <f t="shared" si="4"/>
        <v>7552.9411764705883</v>
      </c>
      <c r="W37" s="91">
        <f t="shared" si="4"/>
        <v>7552.9411764705883</v>
      </c>
      <c r="X37" s="91">
        <f t="shared" si="4"/>
        <v>7552.9411764705883</v>
      </c>
      <c r="Y37" s="91">
        <f t="shared" si="4"/>
        <v>7552.9411764705883</v>
      </c>
      <c r="Z37" s="91">
        <f t="shared" si="4"/>
        <v>7552.9411764705883</v>
      </c>
      <c r="AA37" s="94"/>
      <c r="AB37" s="94"/>
      <c r="AC37" s="94"/>
      <c r="AD37" s="94"/>
      <c r="AU37" s="5">
        <f t="shared" si="0"/>
        <v>128400</v>
      </c>
      <c r="AW37" t="str">
        <f>IF(AU37=H37,"Y", "Error")</f>
        <v>Y</v>
      </c>
    </row>
    <row r="38" spans="1:49" x14ac:dyDescent="0.2">
      <c r="A38" s="12"/>
      <c r="B38" t="s">
        <v>58</v>
      </c>
      <c r="H38" s="93"/>
      <c r="I38" s="91"/>
      <c r="J38" s="91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94"/>
      <c r="AU38" s="5">
        <f t="shared" si="0"/>
        <v>0</v>
      </c>
    </row>
    <row r="39" spans="1:49" outlineLevel="1" x14ac:dyDescent="0.2">
      <c r="A39" s="12"/>
      <c r="C39" t="s">
        <v>139</v>
      </c>
      <c r="H39" s="93"/>
      <c r="I39" s="91"/>
      <c r="J39" s="91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94"/>
      <c r="AU39" s="5">
        <f t="shared" si="0"/>
        <v>0</v>
      </c>
      <c r="AW39" t="str">
        <f t="shared" ref="AW39:AW57" si="5">IF(AU39=H39,"Y", "Error")</f>
        <v>Y</v>
      </c>
    </row>
    <row r="40" spans="1:49" outlineLevel="1" x14ac:dyDescent="0.2">
      <c r="A40" s="12"/>
      <c r="C40" t="s">
        <v>140</v>
      </c>
      <c r="H40" s="93"/>
      <c r="I40" s="91"/>
      <c r="J40" s="91"/>
      <c r="K40" s="95"/>
      <c r="L40" s="95"/>
      <c r="M40" s="95"/>
      <c r="N40" s="95"/>
      <c r="O40" s="95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U40" s="5">
        <f t="shared" si="0"/>
        <v>0</v>
      </c>
      <c r="AW40" t="str">
        <f t="shared" si="5"/>
        <v>Y</v>
      </c>
    </row>
    <row r="41" spans="1:49" outlineLevel="1" x14ac:dyDescent="0.2">
      <c r="A41" s="12"/>
      <c r="C41" t="s">
        <v>141</v>
      </c>
      <c r="H41" s="93"/>
      <c r="I41" s="91"/>
      <c r="J41" s="91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94"/>
      <c r="AU41" s="5">
        <f t="shared" si="0"/>
        <v>0</v>
      </c>
      <c r="AW41" t="str">
        <f t="shared" si="5"/>
        <v>Y</v>
      </c>
    </row>
    <row r="42" spans="1:49" outlineLevel="1" x14ac:dyDescent="0.2">
      <c r="A42" s="12"/>
      <c r="C42" t="s">
        <v>142</v>
      </c>
      <c r="H42" s="93"/>
      <c r="I42" s="91"/>
      <c r="J42" s="91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94"/>
      <c r="AU42" s="5">
        <f t="shared" si="0"/>
        <v>0</v>
      </c>
      <c r="AW42" t="str">
        <f t="shared" si="5"/>
        <v>Y</v>
      </c>
    </row>
    <row r="43" spans="1:49" outlineLevel="1" x14ac:dyDescent="0.2">
      <c r="A43" s="12"/>
      <c r="C43" t="s">
        <v>143</v>
      </c>
      <c r="H43" s="93"/>
      <c r="I43" s="91"/>
      <c r="J43" s="91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94"/>
      <c r="AU43" s="5">
        <f t="shared" si="0"/>
        <v>0</v>
      </c>
      <c r="AW43" t="str">
        <f t="shared" si="5"/>
        <v>Y</v>
      </c>
    </row>
    <row r="44" spans="1:49" outlineLevel="1" x14ac:dyDescent="0.2">
      <c r="A44" s="12"/>
      <c r="C44" t="s">
        <v>144</v>
      </c>
      <c r="G44" s="4"/>
      <c r="H44" s="93"/>
      <c r="I44" s="91"/>
      <c r="J44" s="91"/>
      <c r="K44" s="94">
        <f>'Sales Detail'!N17*$G$44*0.5</f>
        <v>0</v>
      </c>
      <c r="L44" s="94">
        <f>'Sales Detail'!O17*$G$44*0.5</f>
        <v>0</v>
      </c>
      <c r="M44" s="94"/>
      <c r="N44" s="94"/>
      <c r="O44" s="94">
        <f>'Sales Detail'!P17*$G$44*0.5</f>
        <v>0</v>
      </c>
      <c r="P44" s="94">
        <f>'Sales Detail'!T17*$G$44*0.5</f>
        <v>0</v>
      </c>
      <c r="Q44" s="94">
        <f>'Sales Detail'!U17*$G$44*0.5</f>
        <v>0</v>
      </c>
      <c r="R44" s="94">
        <f>'Sales Detail'!V17*$G$44*0.5</f>
        <v>0</v>
      </c>
      <c r="S44" s="94">
        <f>'Sales Detail'!W17*$G$44*0.5</f>
        <v>0</v>
      </c>
      <c r="T44" s="94">
        <f>'Sales Detail'!X17*$G$44*0.5</f>
        <v>0</v>
      </c>
      <c r="U44" s="94">
        <f>'Sales Detail'!Y17*$G$44*0.5</f>
        <v>0</v>
      </c>
      <c r="V44" s="94"/>
      <c r="W44" s="94"/>
      <c r="X44" s="94"/>
      <c r="Y44" s="94"/>
      <c r="Z44" s="94">
        <f>'Sales Detail'!Z17*$G$44*0.5</f>
        <v>0</v>
      </c>
      <c r="AA44" s="94">
        <f>'Sales Detail'!AA17*$G$44*0.5</f>
        <v>0</v>
      </c>
      <c r="AB44" s="94">
        <f>'Sales Detail'!AB17*$G$44*0.5</f>
        <v>0</v>
      </c>
      <c r="AC44" s="94">
        <f>'Sales Detail'!AC17*$G$44*0.5</f>
        <v>0</v>
      </c>
      <c r="AD44" s="94">
        <f>'Sales Detail'!AD17*$G$44*0.5</f>
        <v>0</v>
      </c>
      <c r="AE44" s="5">
        <f>'Sales Detail'!AE17*$G$44*0.5</f>
        <v>0</v>
      </c>
      <c r="AF44" s="5">
        <f>'Sales Detail'!AF17*$G$44*0.5</f>
        <v>0</v>
      </c>
      <c r="AG44" s="5">
        <f>'Sales Detail'!AG17*$G$44*0.5</f>
        <v>0</v>
      </c>
      <c r="AH44" s="5">
        <f>'Sales Detail'!AH17*$G$44*0.5</f>
        <v>0</v>
      </c>
      <c r="AI44" s="5">
        <f>'Sales Detail'!AI17*$G$44*0.5</f>
        <v>0</v>
      </c>
      <c r="AJ44" s="5">
        <f>'Sales Detail'!AJ17*$G$44*0.5</f>
        <v>0</v>
      </c>
      <c r="AK44" s="5">
        <f>'Sales Detail'!AK17*$G$44*0.5</f>
        <v>0</v>
      </c>
      <c r="AL44" s="5">
        <f>H44-SUM(S44:AK44)</f>
        <v>0</v>
      </c>
      <c r="AU44" s="5">
        <f t="shared" si="0"/>
        <v>0</v>
      </c>
      <c r="AW44" t="str">
        <f t="shared" si="5"/>
        <v>Y</v>
      </c>
    </row>
    <row r="45" spans="1:49" x14ac:dyDescent="0.2">
      <c r="A45" s="12"/>
      <c r="G45" s="4"/>
      <c r="H45" s="93"/>
      <c r="I45" s="91"/>
      <c r="J45" s="91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94"/>
      <c r="AU45" s="5">
        <f t="shared" si="0"/>
        <v>0</v>
      </c>
      <c r="AW45" t="str">
        <f t="shared" si="5"/>
        <v>Y</v>
      </c>
    </row>
    <row r="46" spans="1:49" x14ac:dyDescent="0.2">
      <c r="A46" s="12"/>
      <c r="C46" t="s">
        <v>164</v>
      </c>
      <c r="G46" s="4"/>
      <c r="H46" s="94">
        <f>'Development Proforma'!I72</f>
        <v>40065.199999999997</v>
      </c>
      <c r="I46" s="91"/>
      <c r="J46" s="91">
        <f>H46</f>
        <v>40065.199999999997</v>
      </c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4"/>
      <c r="X46" s="94"/>
      <c r="Y46" s="94"/>
      <c r="Z46" s="94"/>
      <c r="AA46" s="94"/>
      <c r="AB46" s="94"/>
      <c r="AC46" s="94"/>
      <c r="AD46" s="94"/>
      <c r="AU46" s="5">
        <f t="shared" si="0"/>
        <v>40065.199999999997</v>
      </c>
      <c r="AW46" t="str">
        <f t="shared" si="5"/>
        <v>Y</v>
      </c>
    </row>
    <row r="47" spans="1:49" x14ac:dyDescent="0.2">
      <c r="A47" s="12"/>
      <c r="G47" s="4"/>
      <c r="H47" s="93"/>
      <c r="I47" s="91"/>
      <c r="J47" s="91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U47" s="5">
        <f t="shared" si="0"/>
        <v>0</v>
      </c>
      <c r="AW47" t="str">
        <f t="shared" si="5"/>
        <v>Y</v>
      </c>
    </row>
    <row r="48" spans="1:49" hidden="1" x14ac:dyDescent="0.2">
      <c r="A48" s="12"/>
      <c r="H48" s="93"/>
      <c r="I48" s="91"/>
      <c r="J48" s="91"/>
      <c r="K48" s="94"/>
      <c r="L48" s="94"/>
      <c r="M48" s="94"/>
      <c r="N48" s="94"/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U48" s="5">
        <f t="shared" si="0"/>
        <v>0</v>
      </c>
      <c r="AW48" t="str">
        <f t="shared" si="5"/>
        <v>Y</v>
      </c>
    </row>
    <row r="49" spans="1:49" hidden="1" x14ac:dyDescent="0.2">
      <c r="A49" s="12"/>
      <c r="H49" s="93"/>
      <c r="I49" s="91"/>
      <c r="J49" s="91"/>
      <c r="K49" s="94"/>
      <c r="L49" s="94"/>
      <c r="M49" s="94"/>
      <c r="N49" s="94"/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  <c r="AC49" s="94"/>
      <c r="AD49" s="94"/>
      <c r="AU49" s="5">
        <f t="shared" si="0"/>
        <v>0</v>
      </c>
      <c r="AW49" t="str">
        <f t="shared" si="5"/>
        <v>Y</v>
      </c>
    </row>
    <row r="50" spans="1:49" hidden="1" x14ac:dyDescent="0.2">
      <c r="A50" s="12"/>
      <c r="H50" s="96"/>
      <c r="I50" s="91"/>
      <c r="J50" s="91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5">
        <f t="shared" si="0"/>
        <v>0</v>
      </c>
      <c r="AW50" t="str">
        <f t="shared" si="5"/>
        <v>Y</v>
      </c>
    </row>
    <row r="51" spans="1:49" x14ac:dyDescent="0.2">
      <c r="A51" s="12"/>
      <c r="B51" t="s">
        <v>167</v>
      </c>
      <c r="H51" s="96"/>
      <c r="I51" s="91"/>
      <c r="J51" s="91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5">
        <f t="shared" si="0"/>
        <v>0</v>
      </c>
      <c r="AW51" t="str">
        <f t="shared" si="5"/>
        <v>Y</v>
      </c>
    </row>
    <row r="52" spans="1:49" x14ac:dyDescent="0.2">
      <c r="A52" s="12"/>
      <c r="C52" t="s">
        <v>163</v>
      </c>
      <c r="H52" s="93">
        <f>'Development Proforma'!I86</f>
        <v>430000</v>
      </c>
      <c r="I52" s="91"/>
      <c r="J52" s="91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4">
        <f>H52</f>
        <v>430000</v>
      </c>
      <c r="V52" s="96"/>
      <c r="W52" s="96"/>
      <c r="X52" s="96"/>
      <c r="Y52" s="96"/>
      <c r="Z52" s="96"/>
      <c r="AA52" s="96"/>
      <c r="AB52" s="96"/>
      <c r="AC52" s="96"/>
      <c r="AD52" s="96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5">
        <f t="shared" si="0"/>
        <v>430000</v>
      </c>
      <c r="AW52" t="str">
        <f t="shared" si="5"/>
        <v>Y</v>
      </c>
    </row>
    <row r="53" spans="1:49" x14ac:dyDescent="0.2">
      <c r="A53" s="12"/>
      <c r="H53" s="93"/>
      <c r="I53" s="91"/>
      <c r="J53" s="91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4"/>
      <c r="V53" s="96"/>
      <c r="W53" s="96"/>
      <c r="X53" s="96"/>
      <c r="Y53" s="96"/>
      <c r="Z53" s="96"/>
      <c r="AA53" s="96"/>
      <c r="AB53" s="96"/>
      <c r="AC53" s="96"/>
      <c r="AD53" s="96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</row>
    <row r="54" spans="1:49" x14ac:dyDescent="0.2">
      <c r="A54" s="12"/>
      <c r="B54" t="s">
        <v>192</v>
      </c>
      <c r="H54" s="93"/>
      <c r="I54" s="91"/>
      <c r="J54" s="91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4"/>
      <c r="V54" s="96"/>
      <c r="W54" s="96"/>
      <c r="X54" s="96"/>
      <c r="Y54" s="96"/>
      <c r="Z54" s="96"/>
      <c r="AA54" s="96"/>
      <c r="AB54" s="96"/>
      <c r="AC54" s="96"/>
      <c r="AD54" s="96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</row>
    <row r="55" spans="1:49" x14ac:dyDescent="0.2">
      <c r="A55" s="12"/>
      <c r="C55" t="s">
        <v>193</v>
      </c>
      <c r="H55" s="93">
        <f ca="1">'Development Proforma'!I91</f>
        <v>83284.589728558727</v>
      </c>
      <c r="I55" s="91"/>
      <c r="J55" s="91">
        <f ca="1">H55</f>
        <v>83284.589728558727</v>
      </c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4"/>
      <c r="V55" s="96"/>
      <c r="W55" s="96"/>
      <c r="X55" s="96"/>
      <c r="Y55" s="96"/>
      <c r="Z55" s="96"/>
      <c r="AA55" s="96"/>
      <c r="AB55" s="96"/>
      <c r="AC55" s="96"/>
      <c r="AD55" s="96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</row>
    <row r="56" spans="1:49" x14ac:dyDescent="0.2">
      <c r="A56" s="12"/>
      <c r="H56" s="93"/>
      <c r="I56" s="91"/>
      <c r="J56" s="91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U56" s="5">
        <f t="shared" si="0"/>
        <v>0</v>
      </c>
      <c r="AW56" t="str">
        <f t="shared" si="5"/>
        <v>Y</v>
      </c>
    </row>
    <row r="57" spans="1:49" s="1" customFormat="1" x14ac:dyDescent="0.2">
      <c r="A57" s="85"/>
      <c r="B57" s="1" t="s">
        <v>104</v>
      </c>
      <c r="H57" s="97">
        <f>H15+H20+H36+H37+H46+H52</f>
        <v>4271465.2</v>
      </c>
      <c r="I57" s="98"/>
      <c r="J57" s="98">
        <f t="shared" ref="J57:U57" ca="1" si="6">SUM(J15:J56)</f>
        <v>130902.73090502931</v>
      </c>
      <c r="K57" s="97">
        <f t="shared" si="6"/>
        <v>7552.9411764705883</v>
      </c>
      <c r="L57" s="97">
        <f t="shared" si="6"/>
        <v>7552.9411764705883</v>
      </c>
      <c r="M57" s="97">
        <f t="shared" si="6"/>
        <v>568052.9411764706</v>
      </c>
      <c r="N57" s="97">
        <f t="shared" si="6"/>
        <v>266927.9411764706</v>
      </c>
      <c r="O57" s="97">
        <f t="shared" si="6"/>
        <v>266927.9411764706</v>
      </c>
      <c r="P57" s="97">
        <f t="shared" si="6"/>
        <v>266927.9411764706</v>
      </c>
      <c r="Q57" s="97">
        <f t="shared" si="6"/>
        <v>266927.9411764706</v>
      </c>
      <c r="R57" s="97">
        <f t="shared" si="6"/>
        <v>266927.9411764706</v>
      </c>
      <c r="S57" s="97">
        <f t="shared" si="6"/>
        <v>266927.9411764706</v>
      </c>
      <c r="T57" s="97">
        <f t="shared" si="6"/>
        <v>266927.9411764706</v>
      </c>
      <c r="U57" s="97">
        <f t="shared" si="6"/>
        <v>696927.9411764706</v>
      </c>
      <c r="V57" s="97">
        <f>SUM(V13:V56)</f>
        <v>266927.9411764706</v>
      </c>
      <c r="W57" s="97">
        <f t="shared" ref="W57:AT57" si="7">SUM(W15:W56)</f>
        <v>266927.9411764706</v>
      </c>
      <c r="X57" s="97">
        <f t="shared" si="7"/>
        <v>266927.9411764706</v>
      </c>
      <c r="Y57" s="97">
        <f t="shared" si="7"/>
        <v>266927.9411764706</v>
      </c>
      <c r="Z57" s="97">
        <f t="shared" si="7"/>
        <v>7552.9411764705883</v>
      </c>
      <c r="AA57" s="97">
        <f t="shared" si="7"/>
        <v>0</v>
      </c>
      <c r="AB57" s="97">
        <f t="shared" si="7"/>
        <v>0</v>
      </c>
      <c r="AC57" s="97">
        <f t="shared" si="7"/>
        <v>0</v>
      </c>
      <c r="AD57" s="97">
        <f t="shared" si="7"/>
        <v>0</v>
      </c>
      <c r="AE57" s="86">
        <f t="shared" si="7"/>
        <v>0</v>
      </c>
      <c r="AF57" s="86">
        <f t="shared" si="7"/>
        <v>0</v>
      </c>
      <c r="AG57" s="86">
        <f t="shared" si="7"/>
        <v>0</v>
      </c>
      <c r="AH57" s="86">
        <f t="shared" si="7"/>
        <v>0</v>
      </c>
      <c r="AI57" s="86">
        <f t="shared" si="7"/>
        <v>0</v>
      </c>
      <c r="AJ57" s="86">
        <f t="shared" si="7"/>
        <v>0</v>
      </c>
      <c r="AK57" s="86">
        <f t="shared" si="7"/>
        <v>0</v>
      </c>
      <c r="AL57" s="86">
        <f t="shared" si="7"/>
        <v>0</v>
      </c>
      <c r="AM57" s="86">
        <f t="shared" si="7"/>
        <v>0</v>
      </c>
      <c r="AN57" s="86">
        <f t="shared" si="7"/>
        <v>0</v>
      </c>
      <c r="AO57" s="86">
        <f t="shared" si="7"/>
        <v>0</v>
      </c>
      <c r="AP57" s="86">
        <f t="shared" si="7"/>
        <v>0</v>
      </c>
      <c r="AQ57" s="86">
        <f t="shared" si="7"/>
        <v>0</v>
      </c>
      <c r="AR57" s="86">
        <f t="shared" si="7"/>
        <v>0</v>
      </c>
      <c r="AS57" s="86">
        <f t="shared" si="7"/>
        <v>0</v>
      </c>
      <c r="AT57" s="86">
        <f t="shared" si="7"/>
        <v>0</v>
      </c>
      <c r="AU57" s="87">
        <f t="shared" ca="1" si="0"/>
        <v>4354749.7897285577</v>
      </c>
      <c r="AW57" s="1" t="str">
        <f t="shared" ca="1" si="5"/>
        <v>Error</v>
      </c>
    </row>
    <row r="58" spans="1:49" s="13" customFormat="1" x14ac:dyDescent="0.2">
      <c r="A58" s="46"/>
      <c r="H58" s="99"/>
      <c r="I58" s="100"/>
      <c r="J58" s="100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</row>
    <row r="59" spans="1:49" x14ac:dyDescent="0.2">
      <c r="H59" s="94"/>
      <c r="I59" s="91"/>
      <c r="J59" s="91"/>
      <c r="K59" s="95"/>
      <c r="L59" s="95"/>
      <c r="M59" s="95"/>
      <c r="N59" s="95"/>
      <c r="O59" s="95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</row>
    <row r="60" spans="1:49" s="41" customFormat="1" x14ac:dyDescent="0.2">
      <c r="A60" s="49"/>
      <c r="B60" s="50" t="s">
        <v>177</v>
      </c>
      <c r="C60" s="50"/>
      <c r="D60" s="50"/>
      <c r="E60" s="50"/>
      <c r="F60" s="50"/>
      <c r="G60" s="50"/>
      <c r="H60" s="101"/>
      <c r="I60" s="102"/>
      <c r="J60" s="102"/>
      <c r="K60" s="107"/>
      <c r="L60" s="107"/>
      <c r="M60" s="107"/>
      <c r="N60" s="107"/>
      <c r="O60" s="107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51"/>
      <c r="AF60" s="51"/>
      <c r="AG60" s="51"/>
      <c r="AH60" s="51"/>
      <c r="AI60" s="51"/>
      <c r="AJ60" s="51"/>
      <c r="AK60" s="51"/>
      <c r="AL60" s="51"/>
      <c r="AM60" s="51"/>
      <c r="AN60" s="53"/>
      <c r="AO60" s="53"/>
      <c r="AP60" s="53"/>
      <c r="AQ60" s="53"/>
      <c r="AR60" s="53"/>
      <c r="AS60" s="53"/>
      <c r="AT60" s="53"/>
      <c r="AU60" s="53"/>
    </row>
    <row r="61" spans="1:49" s="66" customFormat="1" x14ac:dyDescent="0.2">
      <c r="A61" s="83"/>
      <c r="C61" s="66" t="s">
        <v>178</v>
      </c>
      <c r="H61" s="93">
        <f ca="1">'Development Proforma'!I98</f>
        <v>2689057.9951573843</v>
      </c>
      <c r="I61" s="94"/>
      <c r="J61" s="94"/>
      <c r="K61" s="94"/>
      <c r="L61" s="94"/>
      <c r="M61" s="94">
        <f ca="1">'Sales Detail'!M20</f>
        <v>403358.69927360775</v>
      </c>
      <c r="N61" s="94">
        <f ca="1">'Sales Detail'!N20</f>
        <v>268905.7995157385</v>
      </c>
      <c r="O61" s="94">
        <f ca="1">'Sales Detail'!O20</f>
        <v>183344.86330618535</v>
      </c>
      <c r="P61" s="94">
        <f ca="1">'Sales Detail'!P20</f>
        <v>183344.86330618535</v>
      </c>
      <c r="Q61" s="94">
        <f ca="1">'Sales Detail'!Q20</f>
        <v>183344.86330618535</v>
      </c>
      <c r="R61" s="94">
        <f ca="1">'Sales Detail'!R20</f>
        <v>183344.86330618535</v>
      </c>
      <c r="S61" s="94">
        <f ca="1">'Sales Detail'!S20</f>
        <v>183344.86330618535</v>
      </c>
      <c r="T61" s="94">
        <f ca="1">'Sales Detail'!T20</f>
        <v>183344.86330618535</v>
      </c>
      <c r="U61" s="94">
        <f ca="1">'Sales Detail'!U20</f>
        <v>183344.86330618535</v>
      </c>
      <c r="V61" s="94">
        <f ca="1">'Sales Detail'!V20</f>
        <v>183344.86330618535</v>
      </c>
      <c r="W61" s="94">
        <f ca="1">'Sales Detail'!W20</f>
        <v>183344.86330618535</v>
      </c>
      <c r="X61" s="94">
        <f ca="1">'Sales Detail'!X20</f>
        <v>183344.86330618535</v>
      </c>
      <c r="Y61" s="94">
        <f ca="1">'Sales Detail'!Y20</f>
        <v>183344.86330618535</v>
      </c>
      <c r="Z61" s="94"/>
      <c r="AA61" s="94"/>
      <c r="AB61" s="94"/>
      <c r="AC61" s="94"/>
      <c r="AD61" s="94"/>
      <c r="AK61" s="66">
        <f>AK68</f>
        <v>0</v>
      </c>
      <c r="AU61" s="66">
        <f ca="1">SUM(K61:AS61)</f>
        <v>2689057.9951573843</v>
      </c>
      <c r="AW61" s="66" t="str">
        <f ca="1">IF(AU61=H61,"Y", "Error")</f>
        <v>Y</v>
      </c>
    </row>
    <row r="62" spans="1:49" s="66" customFormat="1" x14ac:dyDescent="0.2">
      <c r="A62" s="83"/>
      <c r="C62" s="66" t="s">
        <v>179</v>
      </c>
      <c r="H62" s="93">
        <f ca="1">'Development Proforma'!I109-'Development Proforma'!I98</f>
        <v>3409942.0048426157</v>
      </c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>
        <f ca="1">H62</f>
        <v>3409942.0048426157</v>
      </c>
    </row>
    <row r="63" spans="1:49" x14ac:dyDescent="0.2">
      <c r="A63" s="35"/>
      <c r="H63" s="93">
        <f ca="1">H61*-G63</f>
        <v>0</v>
      </c>
      <c r="I63" s="91"/>
      <c r="J63" s="91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U63" s="5">
        <f>SUM(K63:AS63)</f>
        <v>0</v>
      </c>
      <c r="AW63" t="str">
        <f ca="1">IF(AU63=H63,"Y", "Error")</f>
        <v>Y</v>
      </c>
    </row>
    <row r="64" spans="1:49" x14ac:dyDescent="0.2">
      <c r="A64" s="35"/>
      <c r="C64" t="s">
        <v>168</v>
      </c>
      <c r="H64" s="91"/>
      <c r="I64" s="91"/>
      <c r="J64" s="91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N64" s="5">
        <f>-AN57-AO57</f>
        <v>0</v>
      </c>
      <c r="AU64" s="5">
        <f>SUM(K64:AS64)</f>
        <v>0</v>
      </c>
      <c r="AV64" s="5"/>
    </row>
    <row r="65" spans="1:51" s="66" customFormat="1" x14ac:dyDescent="0.2">
      <c r="A65" s="84"/>
      <c r="C65" s="66" t="s">
        <v>180</v>
      </c>
      <c r="E65" s="66">
        <f ca="1">'Development Proforma'!I100</f>
        <v>1665691.7945711743</v>
      </c>
      <c r="H65" s="94">
        <f ca="1">E65</f>
        <v>1665691.7945711743</v>
      </c>
      <c r="I65" s="94"/>
      <c r="J65" s="94">
        <f ca="1">(E65-J57)+J61</f>
        <v>1534789.0636661451</v>
      </c>
      <c r="K65" s="94">
        <f t="shared" ref="K65:U65" ca="1" si="8">(J65-K57)+K61</f>
        <v>1527236.1224896745</v>
      </c>
      <c r="L65" s="94">
        <f t="shared" ca="1" si="8"/>
        <v>1519683.1813132039</v>
      </c>
      <c r="M65" s="94">
        <f t="shared" ca="1" si="8"/>
        <v>1354988.939410341</v>
      </c>
      <c r="N65" s="94">
        <f t="shared" ca="1" si="8"/>
        <v>1356966.7977496088</v>
      </c>
      <c r="O65" s="94">
        <f t="shared" ca="1" si="8"/>
        <v>1273383.7198793236</v>
      </c>
      <c r="P65" s="94">
        <f t="shared" ca="1" si="8"/>
        <v>1189800.6420090385</v>
      </c>
      <c r="Q65" s="94">
        <f t="shared" ca="1" si="8"/>
        <v>1106217.5641387533</v>
      </c>
      <c r="R65" s="94">
        <f t="shared" ca="1" si="8"/>
        <v>1022634.4862684681</v>
      </c>
      <c r="S65" s="94">
        <f t="shared" ca="1" si="8"/>
        <v>939051.40839818283</v>
      </c>
      <c r="T65" s="94">
        <f t="shared" ca="1" si="8"/>
        <v>855468.33052789757</v>
      </c>
      <c r="U65" s="94">
        <f t="shared" ca="1" si="8"/>
        <v>341885.25265761232</v>
      </c>
      <c r="V65" s="94">
        <f ca="1">(U65-V57)+V61</f>
        <v>258302.17478732707</v>
      </c>
      <c r="W65" s="94">
        <f ca="1">(V65-W57)+W61</f>
        <v>174719.09691704181</v>
      </c>
      <c r="X65" s="94">
        <f ca="1">(W65-X57)+X61</f>
        <v>91136.019046756555</v>
      </c>
      <c r="Y65" s="94">
        <f ca="1">(X65-Y57)+Y61</f>
        <v>7552.9411764713004</v>
      </c>
      <c r="Z65" s="94">
        <f ca="1">(Y65-Z57)+Z61</f>
        <v>7.1213435148820281E-10</v>
      </c>
      <c r="AA65" s="94"/>
      <c r="AB65" s="94"/>
      <c r="AC65" s="94"/>
      <c r="AD65" s="94">
        <f ca="1">SUM(AD57:AD63)</f>
        <v>3409942.0048426157</v>
      </c>
    </row>
    <row r="66" spans="1:51" x14ac:dyDescent="0.2">
      <c r="A66" s="33"/>
      <c r="H66" s="80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AU66" s="5">
        <f t="shared" ref="AU66" si="9">SUM(K66:AS66)</f>
        <v>0</v>
      </c>
      <c r="AW66" t="e">
        <f>IF(AU66=#REF!,"Y", "Error")</f>
        <v>#REF!</v>
      </c>
    </row>
    <row r="67" spans="1:51" x14ac:dyDescent="0.2">
      <c r="A67" s="33"/>
      <c r="C67" t="s">
        <v>181</v>
      </c>
      <c r="E67" s="24">
        <f ca="1">E65</f>
        <v>1665691.7945711743</v>
      </c>
      <c r="H67"/>
      <c r="J67" s="79"/>
      <c r="M67" s="79"/>
      <c r="P67" s="79"/>
      <c r="S67" s="79"/>
      <c r="V67" s="79"/>
      <c r="AU67" s="5">
        <f>SUM(W67:AS67)</f>
        <v>0</v>
      </c>
      <c r="AW67" t="e">
        <f>IF(AU67=#REF!,"Y", "Error")</f>
        <v>#REF!</v>
      </c>
    </row>
    <row r="68" spans="1:51" x14ac:dyDescent="0.2">
      <c r="A68" s="33"/>
      <c r="AW68" t="str">
        <f t="shared" ref="AW68:AW69" si="10">IF(AU68=H68,"Y", "Error")</f>
        <v>Y</v>
      </c>
    </row>
    <row r="69" spans="1:51" s="13" customFormat="1" x14ac:dyDescent="0.2">
      <c r="A69" s="33"/>
      <c r="H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>
        <f>SUM(K69:AS69)</f>
        <v>0</v>
      </c>
      <c r="AW69" s="13" t="str">
        <f t="shared" si="10"/>
        <v>Y</v>
      </c>
      <c r="AY69" s="13" t="s">
        <v>124</v>
      </c>
    </row>
    <row r="71" spans="1:51" s="41" customFormat="1" hidden="1" x14ac:dyDescent="0.2">
      <c r="A71" s="52"/>
      <c r="B71" s="52"/>
      <c r="C71" s="52" t="s">
        <v>74</v>
      </c>
      <c r="D71" s="52"/>
      <c r="E71" s="52"/>
      <c r="F71" s="52"/>
      <c r="G71" s="52"/>
      <c r="H71" s="54"/>
      <c r="I71" s="52"/>
      <c r="J71" s="52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3"/>
      <c r="AO71" s="53"/>
      <c r="AP71" s="53"/>
      <c r="AQ71" s="53"/>
      <c r="AR71" s="53"/>
      <c r="AS71" s="53"/>
      <c r="AT71" s="53"/>
      <c r="AU71" s="53"/>
    </row>
    <row r="72" spans="1:51" hidden="1" x14ac:dyDescent="0.2">
      <c r="C72" t="s">
        <v>78</v>
      </c>
      <c r="H72" s="5">
        <f>H69</f>
        <v>0</v>
      </c>
      <c r="K72" s="5">
        <f>K69</f>
        <v>0</v>
      </c>
      <c r="L72" s="5">
        <f t="shared" ref="L72:AO72" si="11">L69</f>
        <v>0</v>
      </c>
      <c r="O72" s="5">
        <f t="shared" si="11"/>
        <v>0</v>
      </c>
      <c r="P72" s="5">
        <f t="shared" si="11"/>
        <v>0</v>
      </c>
      <c r="Q72" s="5">
        <f t="shared" si="11"/>
        <v>0</v>
      </c>
      <c r="R72" s="5">
        <f t="shared" si="11"/>
        <v>0</v>
      </c>
      <c r="S72" s="5">
        <f t="shared" si="11"/>
        <v>0</v>
      </c>
      <c r="T72" s="5">
        <f t="shared" si="11"/>
        <v>0</v>
      </c>
      <c r="U72" s="5">
        <f t="shared" si="11"/>
        <v>0</v>
      </c>
      <c r="V72" s="5">
        <f t="shared" si="11"/>
        <v>0</v>
      </c>
      <c r="W72" s="5">
        <f t="shared" si="11"/>
        <v>0</v>
      </c>
      <c r="X72" s="5">
        <f t="shared" si="11"/>
        <v>0</v>
      </c>
      <c r="Y72" s="5">
        <f t="shared" si="11"/>
        <v>0</v>
      </c>
      <c r="Z72" s="5">
        <f t="shared" si="11"/>
        <v>0</v>
      </c>
      <c r="AA72" s="5">
        <f t="shared" si="11"/>
        <v>0</v>
      </c>
      <c r="AB72" s="5">
        <f t="shared" si="11"/>
        <v>0</v>
      </c>
      <c r="AC72" s="5">
        <f t="shared" si="11"/>
        <v>0</v>
      </c>
      <c r="AD72" s="5">
        <f t="shared" si="11"/>
        <v>0</v>
      </c>
      <c r="AE72" s="5">
        <f t="shared" si="11"/>
        <v>0</v>
      </c>
      <c r="AF72" s="5">
        <f t="shared" si="11"/>
        <v>0</v>
      </c>
      <c r="AG72" s="5">
        <f t="shared" si="11"/>
        <v>0</v>
      </c>
      <c r="AH72" s="5">
        <f t="shared" si="11"/>
        <v>0</v>
      </c>
      <c r="AI72" s="5">
        <f t="shared" si="11"/>
        <v>0</v>
      </c>
      <c r="AJ72" s="5">
        <f t="shared" si="11"/>
        <v>0</v>
      </c>
      <c r="AK72" s="5">
        <f t="shared" si="11"/>
        <v>0</v>
      </c>
      <c r="AL72" s="5">
        <f t="shared" si="11"/>
        <v>0</v>
      </c>
      <c r="AM72" s="5">
        <f t="shared" si="11"/>
        <v>0</v>
      </c>
      <c r="AN72" s="5">
        <f>-AM73</f>
        <v>0</v>
      </c>
      <c r="AO72" s="5">
        <f t="shared" si="11"/>
        <v>0</v>
      </c>
      <c r="AU72" s="5">
        <f>SUM(K72:AS72)</f>
        <v>0</v>
      </c>
      <c r="AW72" t="str">
        <f>IF(AU72=0,"Y", "Error")</f>
        <v>Y</v>
      </c>
      <c r="AY72" s="13" t="s">
        <v>124</v>
      </c>
    </row>
    <row r="73" spans="1:51" hidden="1" x14ac:dyDescent="0.2">
      <c r="C73" t="s">
        <v>79</v>
      </c>
      <c r="K73" s="5">
        <f>I73+K72</f>
        <v>0</v>
      </c>
      <c r="L73" s="5">
        <f t="shared" ref="L73" si="12">K73+L72</f>
        <v>0</v>
      </c>
      <c r="O73" s="5">
        <f>L73+O72</f>
        <v>0</v>
      </c>
      <c r="P73" s="5">
        <f t="shared" ref="P73" si="13">O73+P72</f>
        <v>0</v>
      </c>
      <c r="Q73" s="5">
        <f t="shared" ref="Q73" si="14">P73+Q72</f>
        <v>0</v>
      </c>
      <c r="R73" s="5">
        <f t="shared" ref="R73" si="15">Q73+R72</f>
        <v>0</v>
      </c>
      <c r="S73" s="5">
        <f t="shared" ref="S73" si="16">R73+S72</f>
        <v>0</v>
      </c>
      <c r="T73" s="5">
        <f t="shared" ref="T73" si="17">S73+T72</f>
        <v>0</v>
      </c>
      <c r="U73" s="5">
        <f>T73+U72</f>
        <v>0</v>
      </c>
      <c r="V73" s="5">
        <f t="shared" ref="V73" si="18">U73+V72</f>
        <v>0</v>
      </c>
      <c r="W73" s="5">
        <f t="shared" ref="W73" si="19">V73+W72</f>
        <v>0</v>
      </c>
      <c r="X73" s="5">
        <f t="shared" ref="X73" si="20">W73+X72</f>
        <v>0</v>
      </c>
      <c r="Y73" s="5">
        <f t="shared" ref="Y73" si="21">X73+Y72</f>
        <v>0</v>
      </c>
      <c r="Z73" s="5">
        <f t="shared" ref="Z73" si="22">Y73+Z72</f>
        <v>0</v>
      </c>
      <c r="AA73" s="5">
        <f t="shared" ref="AA73" si="23">Z73+AA72</f>
        <v>0</v>
      </c>
      <c r="AB73" s="5">
        <f t="shared" ref="AB73" si="24">AA73+AB72</f>
        <v>0</v>
      </c>
      <c r="AC73" s="5">
        <f t="shared" ref="AC73" si="25">AB73+AC72</f>
        <v>0</v>
      </c>
      <c r="AD73" s="5">
        <f t="shared" ref="AD73" si="26">AC73+AD72</f>
        <v>0</v>
      </c>
      <c r="AE73" s="5">
        <f t="shared" ref="AE73" si="27">AD73+AE72</f>
        <v>0</v>
      </c>
      <c r="AF73" s="5">
        <f t="shared" ref="AF73" si="28">AE73+AF72</f>
        <v>0</v>
      </c>
      <c r="AG73" s="5">
        <f t="shared" ref="AG73" si="29">AF73+AG72</f>
        <v>0</v>
      </c>
      <c r="AH73" s="5">
        <f t="shared" ref="AH73" si="30">AG73+AH72</f>
        <v>0</v>
      </c>
      <c r="AI73" s="5">
        <f t="shared" ref="AI73" si="31">AH73+AI72</f>
        <v>0</v>
      </c>
      <c r="AJ73" s="5">
        <f t="shared" ref="AJ73" si="32">AI73+AJ72</f>
        <v>0</v>
      </c>
      <c r="AK73" s="5">
        <f>AJ73+AK72</f>
        <v>0</v>
      </c>
      <c r="AL73" s="5">
        <f t="shared" ref="AL73:AN73" si="33">AK73+AL72</f>
        <v>0</v>
      </c>
      <c r="AM73" s="5">
        <f t="shared" si="33"/>
        <v>0</v>
      </c>
      <c r="AN73" s="5">
        <f t="shared" si="33"/>
        <v>0</v>
      </c>
      <c r="AO73" s="5">
        <f>AN73+AO72</f>
        <v>0</v>
      </c>
    </row>
    <row r="74" spans="1:51" hidden="1" x14ac:dyDescent="0.2">
      <c r="C74" t="s">
        <v>77</v>
      </c>
    </row>
    <row r="75" spans="1:51" hidden="1" x14ac:dyDescent="0.2">
      <c r="C75" t="s">
        <v>82</v>
      </c>
      <c r="H75" s="37" t="e">
        <f>'Inputs &amp; Assumptions'!#REF!</f>
        <v>#REF!</v>
      </c>
      <c r="K75" s="37" t="e">
        <f>$H$75</f>
        <v>#REF!</v>
      </c>
      <c r="L75" s="37" t="e">
        <f t="shared" ref="L75:AO75" si="34">$H$75</f>
        <v>#REF!</v>
      </c>
      <c r="M75" s="37" t="e">
        <f t="shared" si="34"/>
        <v>#REF!</v>
      </c>
      <c r="N75" s="37" t="e">
        <f t="shared" si="34"/>
        <v>#REF!</v>
      </c>
      <c r="O75" s="37" t="e">
        <f t="shared" si="34"/>
        <v>#REF!</v>
      </c>
      <c r="P75" s="37" t="e">
        <f t="shared" si="34"/>
        <v>#REF!</v>
      </c>
      <c r="Q75" s="37" t="e">
        <f t="shared" si="34"/>
        <v>#REF!</v>
      </c>
      <c r="R75" s="37" t="e">
        <f t="shared" si="34"/>
        <v>#REF!</v>
      </c>
      <c r="S75" s="37" t="e">
        <f t="shared" si="34"/>
        <v>#REF!</v>
      </c>
      <c r="T75" s="37" t="e">
        <f t="shared" si="34"/>
        <v>#REF!</v>
      </c>
      <c r="U75" s="37" t="e">
        <f t="shared" si="34"/>
        <v>#REF!</v>
      </c>
      <c r="V75" s="37" t="e">
        <f t="shared" si="34"/>
        <v>#REF!</v>
      </c>
      <c r="W75" s="37" t="e">
        <f t="shared" si="34"/>
        <v>#REF!</v>
      </c>
      <c r="X75" s="37" t="e">
        <f t="shared" si="34"/>
        <v>#REF!</v>
      </c>
      <c r="Y75" s="37" t="e">
        <f t="shared" si="34"/>
        <v>#REF!</v>
      </c>
      <c r="Z75" s="37" t="e">
        <f t="shared" si="34"/>
        <v>#REF!</v>
      </c>
      <c r="AA75" s="37" t="e">
        <f t="shared" si="34"/>
        <v>#REF!</v>
      </c>
      <c r="AB75" s="37" t="e">
        <f t="shared" si="34"/>
        <v>#REF!</v>
      </c>
      <c r="AC75" s="37" t="e">
        <f t="shared" si="34"/>
        <v>#REF!</v>
      </c>
      <c r="AD75" s="37" t="e">
        <f t="shared" si="34"/>
        <v>#REF!</v>
      </c>
      <c r="AE75" s="37" t="e">
        <f t="shared" si="34"/>
        <v>#REF!</v>
      </c>
      <c r="AF75" s="37" t="e">
        <f t="shared" si="34"/>
        <v>#REF!</v>
      </c>
      <c r="AG75" s="37" t="e">
        <f t="shared" si="34"/>
        <v>#REF!</v>
      </c>
      <c r="AH75" s="37" t="e">
        <f t="shared" si="34"/>
        <v>#REF!</v>
      </c>
      <c r="AI75" s="37" t="e">
        <f t="shared" si="34"/>
        <v>#REF!</v>
      </c>
      <c r="AJ75" s="37" t="e">
        <f t="shared" si="34"/>
        <v>#REF!</v>
      </c>
      <c r="AK75" s="37" t="e">
        <f t="shared" si="34"/>
        <v>#REF!</v>
      </c>
      <c r="AL75" s="37" t="e">
        <f t="shared" si="34"/>
        <v>#REF!</v>
      </c>
      <c r="AM75" s="37" t="e">
        <f t="shared" si="34"/>
        <v>#REF!</v>
      </c>
      <c r="AN75" s="37" t="e">
        <f t="shared" si="34"/>
        <v>#REF!</v>
      </c>
      <c r="AO75" s="37" t="e">
        <f t="shared" si="34"/>
        <v>#REF!</v>
      </c>
    </row>
    <row r="76" spans="1:51" hidden="1" x14ac:dyDescent="0.2">
      <c r="C76" t="s">
        <v>83</v>
      </c>
      <c r="H76" s="5" t="e">
        <f>#REF!</f>
        <v>#REF!</v>
      </c>
      <c r="K76" s="5" t="e">
        <f>(K75*K73)/12</f>
        <v>#REF!</v>
      </c>
      <c r="L76" s="5" t="e">
        <f t="shared" ref="L76:AM76" si="35">(L75*L73)/12</f>
        <v>#REF!</v>
      </c>
      <c r="M76" s="5" t="e">
        <f t="shared" si="35"/>
        <v>#REF!</v>
      </c>
      <c r="N76" s="5" t="e">
        <f t="shared" si="35"/>
        <v>#REF!</v>
      </c>
      <c r="O76" s="5" t="e">
        <f t="shared" si="35"/>
        <v>#REF!</v>
      </c>
      <c r="P76" s="5" t="e">
        <f t="shared" si="35"/>
        <v>#REF!</v>
      </c>
      <c r="Q76" s="5" t="e">
        <f t="shared" si="35"/>
        <v>#REF!</v>
      </c>
      <c r="R76" s="5" t="e">
        <f t="shared" si="35"/>
        <v>#REF!</v>
      </c>
      <c r="S76" s="5" t="e">
        <f t="shared" si="35"/>
        <v>#REF!</v>
      </c>
      <c r="T76" s="5" t="e">
        <f t="shared" si="35"/>
        <v>#REF!</v>
      </c>
      <c r="U76" s="5" t="e">
        <f>(U75*U73)/12</f>
        <v>#REF!</v>
      </c>
      <c r="V76" s="5" t="e">
        <f t="shared" si="35"/>
        <v>#REF!</v>
      </c>
      <c r="W76" s="5" t="e">
        <f>(W75*W73)/12</f>
        <v>#REF!</v>
      </c>
      <c r="X76" s="5" t="e">
        <f t="shared" si="35"/>
        <v>#REF!</v>
      </c>
      <c r="Y76" s="5" t="e">
        <f t="shared" si="35"/>
        <v>#REF!</v>
      </c>
      <c r="Z76" s="5" t="e">
        <f t="shared" si="35"/>
        <v>#REF!</v>
      </c>
      <c r="AA76" s="5" t="e">
        <f t="shared" si="35"/>
        <v>#REF!</v>
      </c>
      <c r="AB76" s="5" t="e">
        <f t="shared" si="35"/>
        <v>#REF!</v>
      </c>
      <c r="AC76" s="5" t="e">
        <f t="shared" si="35"/>
        <v>#REF!</v>
      </c>
      <c r="AD76" s="5" t="e">
        <f t="shared" si="35"/>
        <v>#REF!</v>
      </c>
      <c r="AE76" s="5" t="e">
        <f t="shared" si="35"/>
        <v>#REF!</v>
      </c>
      <c r="AF76" s="5" t="e">
        <f t="shared" si="35"/>
        <v>#REF!</v>
      </c>
      <c r="AG76" s="5" t="e">
        <f t="shared" si="35"/>
        <v>#REF!</v>
      </c>
      <c r="AH76" s="5" t="e">
        <f t="shared" si="35"/>
        <v>#REF!</v>
      </c>
      <c r="AI76" s="5" t="e">
        <f t="shared" si="35"/>
        <v>#REF!</v>
      </c>
      <c r="AJ76" s="5" t="e">
        <f t="shared" si="35"/>
        <v>#REF!</v>
      </c>
      <c r="AK76" s="5" t="e">
        <f t="shared" si="35"/>
        <v>#REF!</v>
      </c>
      <c r="AL76" s="5" t="e">
        <f t="shared" si="35"/>
        <v>#REF!</v>
      </c>
      <c r="AM76" s="5" t="e">
        <f t="shared" si="35"/>
        <v>#REF!</v>
      </c>
      <c r="AU76" s="5" t="e">
        <f>SUM(K76:AS76)</f>
        <v>#REF!</v>
      </c>
      <c r="AW76" t="e">
        <f>IF(AU76=H76,"Y", "Error")</f>
        <v>#REF!</v>
      </c>
      <c r="AY76" t="s">
        <v>133</v>
      </c>
    </row>
    <row r="77" spans="1:51" hidden="1" x14ac:dyDescent="0.2"/>
    <row r="78" spans="1:51" hidden="1" x14ac:dyDescent="0.2">
      <c r="C78" t="s">
        <v>81</v>
      </c>
      <c r="H78" s="5">
        <f>H68</f>
        <v>0</v>
      </c>
      <c r="K78" s="5">
        <f>K68</f>
        <v>0</v>
      </c>
      <c r="L78" s="5">
        <f t="shared" ref="L78:AK78" si="36">L68</f>
        <v>0</v>
      </c>
      <c r="M78" s="5">
        <f t="shared" ref="M78:N78" si="37">M68</f>
        <v>0</v>
      </c>
      <c r="N78" s="5">
        <f t="shared" si="37"/>
        <v>0</v>
      </c>
      <c r="O78" s="5">
        <f t="shared" si="36"/>
        <v>0</v>
      </c>
      <c r="P78" s="5">
        <f t="shared" si="36"/>
        <v>0</v>
      </c>
      <c r="Q78" s="5">
        <f t="shared" si="36"/>
        <v>0</v>
      </c>
      <c r="R78" s="5">
        <f t="shared" si="36"/>
        <v>0</v>
      </c>
      <c r="S78" s="5">
        <f t="shared" si="36"/>
        <v>0</v>
      </c>
      <c r="T78" s="5">
        <f t="shared" si="36"/>
        <v>0</v>
      </c>
      <c r="U78" s="5">
        <f t="shared" si="36"/>
        <v>0</v>
      </c>
      <c r="V78" s="5">
        <f t="shared" si="36"/>
        <v>0</v>
      </c>
      <c r="W78" s="5">
        <f t="shared" si="36"/>
        <v>0</v>
      </c>
      <c r="X78" s="5">
        <f t="shared" si="36"/>
        <v>0</v>
      </c>
      <c r="Y78" s="5">
        <f t="shared" si="36"/>
        <v>0</v>
      </c>
      <c r="Z78" s="5">
        <f t="shared" si="36"/>
        <v>0</v>
      </c>
      <c r="AA78" s="5">
        <f t="shared" si="36"/>
        <v>0</v>
      </c>
      <c r="AB78" s="5">
        <f t="shared" si="36"/>
        <v>0</v>
      </c>
      <c r="AC78" s="5">
        <f t="shared" si="36"/>
        <v>0</v>
      </c>
      <c r="AD78" s="5">
        <f t="shared" si="36"/>
        <v>0</v>
      </c>
      <c r="AE78" s="5">
        <f t="shared" si="36"/>
        <v>0</v>
      </c>
      <c r="AF78" s="5">
        <f t="shared" si="36"/>
        <v>0</v>
      </c>
      <c r="AG78" s="5">
        <f t="shared" si="36"/>
        <v>0</v>
      </c>
      <c r="AH78" s="5">
        <f t="shared" si="36"/>
        <v>0</v>
      </c>
      <c r="AI78" s="5">
        <f t="shared" si="36"/>
        <v>0</v>
      </c>
      <c r="AJ78" s="5">
        <f t="shared" si="36"/>
        <v>0</v>
      </c>
      <c r="AK78" s="5">
        <f t="shared" si="36"/>
        <v>0</v>
      </c>
    </row>
    <row r="79" spans="1:51" hidden="1" x14ac:dyDescent="0.2">
      <c r="C79" t="s">
        <v>80</v>
      </c>
      <c r="K79" s="5">
        <f>I79+K78</f>
        <v>0</v>
      </c>
      <c r="L79" s="5">
        <f t="shared" ref="L79" si="38">K79+L78</f>
        <v>0</v>
      </c>
      <c r="M79" s="5">
        <f t="shared" ref="M79" si="39">L79+M78</f>
        <v>0</v>
      </c>
      <c r="N79" s="5">
        <f t="shared" ref="N79" si="40">M79+N78</f>
        <v>0</v>
      </c>
      <c r="O79" s="5">
        <f>L79+O78</f>
        <v>0</v>
      </c>
      <c r="P79" s="5">
        <f t="shared" ref="P79" si="41">O79+P78</f>
        <v>0</v>
      </c>
      <c r="Q79" s="5">
        <f t="shared" ref="Q79" si="42">P79+Q78</f>
        <v>0</v>
      </c>
      <c r="R79" s="5">
        <f t="shared" ref="R79" si="43">Q79+R78</f>
        <v>0</v>
      </c>
      <c r="S79" s="5">
        <f t="shared" ref="S79" si="44">R79+S78</f>
        <v>0</v>
      </c>
      <c r="T79" s="5">
        <f t="shared" ref="T79" si="45">S79+T78</f>
        <v>0</v>
      </c>
      <c r="U79" s="5">
        <f t="shared" ref="U79" si="46">T79+U78</f>
        <v>0</v>
      </c>
      <c r="V79" s="5">
        <f t="shared" ref="V79" si="47">U79+V78</f>
        <v>0</v>
      </c>
      <c r="W79" s="5">
        <f t="shared" ref="W79" si="48">V79+W78</f>
        <v>0</v>
      </c>
      <c r="X79" s="5">
        <f t="shared" ref="X79" si="49">W79+X78</f>
        <v>0</v>
      </c>
      <c r="Y79" s="5">
        <f t="shared" ref="Y79" si="50">X79+Y78</f>
        <v>0</v>
      </c>
      <c r="Z79" s="5">
        <f t="shared" ref="Z79" si="51">Y79+Z78</f>
        <v>0</v>
      </c>
      <c r="AA79" s="5">
        <f t="shared" ref="AA79" si="52">Z79+AA78</f>
        <v>0</v>
      </c>
      <c r="AB79" s="5">
        <f t="shared" ref="AB79" si="53">AA79+AB78</f>
        <v>0</v>
      </c>
      <c r="AC79" s="5">
        <f t="shared" ref="AC79" si="54">AB79+AC78</f>
        <v>0</v>
      </c>
      <c r="AD79" s="5">
        <f t="shared" ref="AD79" si="55">AC79+AD78</f>
        <v>0</v>
      </c>
      <c r="AE79" s="5">
        <f t="shared" ref="AE79" si="56">AD79+AE78</f>
        <v>0</v>
      </c>
      <c r="AF79" s="5">
        <f t="shared" ref="AF79" si="57">AE79+AF78</f>
        <v>0</v>
      </c>
      <c r="AG79" s="5">
        <f t="shared" ref="AG79" si="58">AF79+AG78</f>
        <v>0</v>
      </c>
      <c r="AH79" s="5">
        <f t="shared" ref="AH79" si="59">AG79+AH78</f>
        <v>0</v>
      </c>
      <c r="AI79" s="5">
        <f t="shared" ref="AI79" si="60">AH79+AI78</f>
        <v>0</v>
      </c>
      <c r="AJ79" s="5">
        <f t="shared" ref="AJ79" si="61">AI79+AJ78</f>
        <v>0</v>
      </c>
      <c r="AK79" s="5">
        <f t="shared" ref="AK79" si="62">AJ79+AK78</f>
        <v>0</v>
      </c>
      <c r="AL79" s="5">
        <f t="shared" ref="AL79" si="63">AK79+AL78</f>
        <v>0</v>
      </c>
      <c r="AM79" s="5">
        <f t="shared" ref="AM79" si="64">AL79+AM78</f>
        <v>0</v>
      </c>
    </row>
    <row r="80" spans="1:51" hidden="1" x14ac:dyDescent="0.2">
      <c r="C80" t="s">
        <v>84</v>
      </c>
      <c r="H80" s="37" t="e">
        <f>'Inputs &amp; Assumptions'!#REF!</f>
        <v>#REF!</v>
      </c>
      <c r="I80" s="37"/>
      <c r="J80" s="37"/>
      <c r="K80" s="37" t="e">
        <f>$H$80</f>
        <v>#REF!</v>
      </c>
      <c r="L80" s="37" t="e">
        <f t="shared" ref="L80:AM80" si="65">$H$80</f>
        <v>#REF!</v>
      </c>
      <c r="M80" s="37" t="e">
        <f t="shared" si="65"/>
        <v>#REF!</v>
      </c>
      <c r="N80" s="37" t="e">
        <f t="shared" si="65"/>
        <v>#REF!</v>
      </c>
      <c r="O80" s="37" t="e">
        <f t="shared" si="65"/>
        <v>#REF!</v>
      </c>
      <c r="P80" s="37" t="e">
        <f t="shared" si="65"/>
        <v>#REF!</v>
      </c>
      <c r="Q80" s="37" t="e">
        <f t="shared" si="65"/>
        <v>#REF!</v>
      </c>
      <c r="R80" s="37" t="e">
        <f t="shared" si="65"/>
        <v>#REF!</v>
      </c>
      <c r="S80" s="37" t="e">
        <f t="shared" si="65"/>
        <v>#REF!</v>
      </c>
      <c r="T80" s="37" t="e">
        <f t="shared" si="65"/>
        <v>#REF!</v>
      </c>
      <c r="U80" s="37" t="e">
        <f t="shared" si="65"/>
        <v>#REF!</v>
      </c>
      <c r="V80" s="37" t="e">
        <f t="shared" si="65"/>
        <v>#REF!</v>
      </c>
      <c r="W80" s="37" t="e">
        <f t="shared" si="65"/>
        <v>#REF!</v>
      </c>
      <c r="X80" s="37" t="e">
        <f t="shared" si="65"/>
        <v>#REF!</v>
      </c>
      <c r="Y80" s="37" t="e">
        <f t="shared" si="65"/>
        <v>#REF!</v>
      </c>
      <c r="Z80" s="37" t="e">
        <f t="shared" si="65"/>
        <v>#REF!</v>
      </c>
      <c r="AA80" s="37" t="e">
        <f t="shared" si="65"/>
        <v>#REF!</v>
      </c>
      <c r="AB80" s="37" t="e">
        <f t="shared" si="65"/>
        <v>#REF!</v>
      </c>
      <c r="AC80" s="37" t="e">
        <f t="shared" si="65"/>
        <v>#REF!</v>
      </c>
      <c r="AD80" s="37" t="e">
        <f t="shared" si="65"/>
        <v>#REF!</v>
      </c>
      <c r="AE80" s="37" t="e">
        <f t="shared" si="65"/>
        <v>#REF!</v>
      </c>
      <c r="AF80" s="37" t="e">
        <f t="shared" si="65"/>
        <v>#REF!</v>
      </c>
      <c r="AG80" s="37" t="e">
        <f t="shared" si="65"/>
        <v>#REF!</v>
      </c>
      <c r="AH80" s="37" t="e">
        <f t="shared" si="65"/>
        <v>#REF!</v>
      </c>
      <c r="AI80" s="37" t="e">
        <f t="shared" si="65"/>
        <v>#REF!</v>
      </c>
      <c r="AJ80" s="37" t="e">
        <f t="shared" si="65"/>
        <v>#REF!</v>
      </c>
      <c r="AK80" s="37" t="e">
        <f t="shared" si="65"/>
        <v>#REF!</v>
      </c>
      <c r="AL80" s="37" t="e">
        <f t="shared" si="65"/>
        <v>#REF!</v>
      </c>
      <c r="AM80" s="37" t="e">
        <f t="shared" si="65"/>
        <v>#REF!</v>
      </c>
    </row>
    <row r="81" spans="1:48" s="13" customFormat="1" hidden="1" x14ac:dyDescent="0.2">
      <c r="C81" s="13" t="s">
        <v>85</v>
      </c>
      <c r="H81" s="47"/>
      <c r="K81" s="47" t="e">
        <f>(K80*K79/12)</f>
        <v>#REF!</v>
      </c>
      <c r="L81" s="47" t="e">
        <f t="shared" ref="L81:S81" si="66">(L80*L79/12)</f>
        <v>#REF!</v>
      </c>
      <c r="M81" s="47"/>
      <c r="N81" s="47"/>
      <c r="O81" s="47" t="e">
        <f t="shared" si="66"/>
        <v>#REF!</v>
      </c>
      <c r="P81" s="47" t="e">
        <f t="shared" si="66"/>
        <v>#REF!</v>
      </c>
      <c r="Q81" s="47" t="e">
        <f t="shared" si="66"/>
        <v>#REF!</v>
      </c>
      <c r="R81" s="47" t="e">
        <f t="shared" si="66"/>
        <v>#REF!</v>
      </c>
      <c r="S81" s="47" t="e">
        <f t="shared" si="66"/>
        <v>#REF!</v>
      </c>
      <c r="T81" s="47" t="e">
        <f t="shared" ref="T81:AM81" si="67">(T80*T79/12)</f>
        <v>#REF!</v>
      </c>
      <c r="U81" s="47" t="e">
        <f>(U80*U79/12)</f>
        <v>#REF!</v>
      </c>
      <c r="V81" s="47" t="e">
        <f>(V80*V79/12)</f>
        <v>#REF!</v>
      </c>
      <c r="W81" s="47" t="e">
        <f t="shared" si="67"/>
        <v>#REF!</v>
      </c>
      <c r="X81" s="47" t="e">
        <f t="shared" si="67"/>
        <v>#REF!</v>
      </c>
      <c r="Y81" s="47" t="e">
        <f t="shared" si="67"/>
        <v>#REF!</v>
      </c>
      <c r="Z81" s="47" t="e">
        <f t="shared" si="67"/>
        <v>#REF!</v>
      </c>
      <c r="AA81" s="47" t="e">
        <f t="shared" si="67"/>
        <v>#REF!</v>
      </c>
      <c r="AB81" s="47" t="e">
        <f t="shared" si="67"/>
        <v>#REF!</v>
      </c>
      <c r="AC81" s="47" t="e">
        <f t="shared" si="67"/>
        <v>#REF!</v>
      </c>
      <c r="AD81" s="47" t="e">
        <f t="shared" si="67"/>
        <v>#REF!</v>
      </c>
      <c r="AE81" s="47" t="e">
        <f t="shared" si="67"/>
        <v>#REF!</v>
      </c>
      <c r="AF81" s="47" t="e">
        <f t="shared" si="67"/>
        <v>#REF!</v>
      </c>
      <c r="AG81" s="47" t="e">
        <f t="shared" si="67"/>
        <v>#REF!</v>
      </c>
      <c r="AH81" s="47" t="e">
        <f t="shared" si="67"/>
        <v>#REF!</v>
      </c>
      <c r="AI81" s="47" t="e">
        <f t="shared" si="67"/>
        <v>#REF!</v>
      </c>
      <c r="AJ81" s="47" t="e">
        <f t="shared" si="67"/>
        <v>#REF!</v>
      </c>
      <c r="AK81" s="47" t="e">
        <f t="shared" si="67"/>
        <v>#REF!</v>
      </c>
      <c r="AL81" s="47" t="e">
        <f t="shared" si="67"/>
        <v>#REF!</v>
      </c>
      <c r="AM81" s="47" t="e">
        <f t="shared" si="67"/>
        <v>#REF!</v>
      </c>
      <c r="AN81" s="47"/>
      <c r="AO81" s="47"/>
      <c r="AP81" s="47"/>
      <c r="AQ81" s="47"/>
      <c r="AR81" s="47"/>
      <c r="AS81" s="47"/>
      <c r="AT81" s="47"/>
      <c r="AU81" s="47" t="e">
        <f>SUM(K81:AS81)</f>
        <v>#REF!</v>
      </c>
    </row>
    <row r="82" spans="1:48" hidden="1" x14ac:dyDescent="0.2"/>
    <row r="83" spans="1:48" s="41" customFormat="1" x14ac:dyDescent="0.2">
      <c r="A83" s="50"/>
      <c r="B83" s="50" t="s">
        <v>106</v>
      </c>
      <c r="C83" s="50"/>
      <c r="D83" s="50"/>
      <c r="E83" s="50"/>
      <c r="F83" s="50"/>
      <c r="G83" s="50"/>
      <c r="H83" s="50"/>
      <c r="I83" s="50"/>
      <c r="J83" s="50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3"/>
      <c r="AO83" s="53"/>
      <c r="AP83" s="53"/>
      <c r="AQ83" s="53"/>
      <c r="AR83" s="53"/>
      <c r="AS83" s="53"/>
      <c r="AT83" s="53"/>
      <c r="AU83" s="53"/>
    </row>
    <row r="85" spans="1:48" ht="14.25" customHeight="1" x14ac:dyDescent="0.2">
      <c r="C85" t="s">
        <v>107</v>
      </c>
      <c r="D85" t="s">
        <v>118</v>
      </c>
      <c r="G85" s="4"/>
      <c r="J85" s="5"/>
      <c r="M85" s="5">
        <f ca="1">-'Development Proforma'!I100</f>
        <v>-1665691.7945711743</v>
      </c>
      <c r="AC85" s="5">
        <f t="shared" ref="AC85:AK85" si="68">-AC66</f>
        <v>0</v>
      </c>
      <c r="AD85" s="5">
        <f t="shared" si="68"/>
        <v>0</v>
      </c>
      <c r="AE85" s="5">
        <f t="shared" si="68"/>
        <v>0</v>
      </c>
      <c r="AF85" s="5">
        <f t="shared" si="68"/>
        <v>0</v>
      </c>
      <c r="AG85" s="5">
        <f t="shared" si="68"/>
        <v>0</v>
      </c>
      <c r="AH85" s="5">
        <f t="shared" si="68"/>
        <v>0</v>
      </c>
      <c r="AI85" s="5">
        <f t="shared" si="68"/>
        <v>0</v>
      </c>
      <c r="AJ85" s="5">
        <f t="shared" si="68"/>
        <v>0</v>
      </c>
      <c r="AK85" s="5">
        <f t="shared" si="68"/>
        <v>0</v>
      </c>
      <c r="AM85" s="5">
        <f>-AM66</f>
        <v>0</v>
      </c>
      <c r="AN85" s="5">
        <f ca="1">-M85</f>
        <v>1665691.7945711743</v>
      </c>
    </row>
    <row r="86" spans="1:48" ht="14.25" customHeight="1" x14ac:dyDescent="0.2">
      <c r="D86" t="s">
        <v>116</v>
      </c>
      <c r="G86" s="4">
        <v>0.08</v>
      </c>
      <c r="AN86" s="5">
        <f ca="1">(AN85)*G86/12*(AN10-M10)</f>
        <v>299824.52302281139</v>
      </c>
    </row>
    <row r="87" spans="1:48" x14ac:dyDescent="0.2">
      <c r="D87" t="s">
        <v>200</v>
      </c>
      <c r="G87" s="4">
        <f>'Inputs &amp; Assumptions'!C36</f>
        <v>0.5</v>
      </c>
      <c r="AN87" s="5">
        <f ca="1">'Development Proforma'!I120</f>
        <v>761078.98549764242</v>
      </c>
    </row>
    <row r="88" spans="1:48" x14ac:dyDescent="0.2">
      <c r="D88" t="s">
        <v>87</v>
      </c>
      <c r="H88" s="37"/>
      <c r="J88" s="5">
        <f>SUM(J85:J87)</f>
        <v>0</v>
      </c>
      <c r="K88" s="5">
        <f>SUM(K85:K87)</f>
        <v>0</v>
      </c>
      <c r="L88" s="5">
        <f t="shared" ref="L88:AM88" si="69">SUM(L85:L87)</f>
        <v>0</v>
      </c>
      <c r="M88" s="5">
        <f t="shared" ca="1" si="69"/>
        <v>-1665691.7945711743</v>
      </c>
      <c r="N88" s="5">
        <f t="shared" si="69"/>
        <v>0</v>
      </c>
      <c r="O88" s="5">
        <f t="shared" ref="O88" si="70">SUM(O85:O87)</f>
        <v>0</v>
      </c>
      <c r="P88" s="5">
        <f t="shared" ref="P88" si="71">SUM(P85:P87)</f>
        <v>0</v>
      </c>
      <c r="Q88" s="5">
        <f t="shared" ref="Q88" si="72">SUM(Q85:Q87)</f>
        <v>0</v>
      </c>
      <c r="R88" s="5">
        <f t="shared" si="69"/>
        <v>0</v>
      </c>
      <c r="S88" s="5">
        <f t="shared" si="69"/>
        <v>0</v>
      </c>
      <c r="T88" s="5">
        <f t="shared" si="69"/>
        <v>0</v>
      </c>
      <c r="U88" s="5">
        <f t="shared" si="69"/>
        <v>0</v>
      </c>
      <c r="V88" s="5">
        <f t="shared" si="69"/>
        <v>0</v>
      </c>
      <c r="W88" s="5">
        <f t="shared" si="69"/>
        <v>0</v>
      </c>
      <c r="X88" s="5">
        <f t="shared" si="69"/>
        <v>0</v>
      </c>
      <c r="Y88" s="5">
        <f t="shared" si="69"/>
        <v>0</v>
      </c>
      <c r="Z88" s="5">
        <f t="shared" si="69"/>
        <v>0</v>
      </c>
      <c r="AA88" s="5">
        <f t="shared" si="69"/>
        <v>0</v>
      </c>
      <c r="AB88" s="5">
        <f t="shared" si="69"/>
        <v>0</v>
      </c>
      <c r="AC88" s="5">
        <f t="shared" si="69"/>
        <v>0</v>
      </c>
      <c r="AD88" s="5">
        <f t="shared" si="69"/>
        <v>0</v>
      </c>
      <c r="AE88" s="5">
        <f t="shared" si="69"/>
        <v>0</v>
      </c>
      <c r="AF88" s="5">
        <f t="shared" si="69"/>
        <v>0</v>
      </c>
      <c r="AG88" s="5">
        <f t="shared" si="69"/>
        <v>0</v>
      </c>
      <c r="AH88" s="5">
        <f t="shared" si="69"/>
        <v>0</v>
      </c>
      <c r="AI88" s="5">
        <f t="shared" si="69"/>
        <v>0</v>
      </c>
      <c r="AJ88" s="5">
        <f t="shared" si="69"/>
        <v>0</v>
      </c>
      <c r="AK88" s="5">
        <f t="shared" si="69"/>
        <v>0</v>
      </c>
      <c r="AM88" s="5">
        <f t="shared" si="69"/>
        <v>0</v>
      </c>
      <c r="AN88" s="5">
        <f ca="1">SUM(AN85:AN87)</f>
        <v>2726595.303091628</v>
      </c>
    </row>
    <row r="91" spans="1:48" x14ac:dyDescent="0.2">
      <c r="J91">
        <v>0</v>
      </c>
      <c r="AK91" s="5" t="s">
        <v>121</v>
      </c>
      <c r="AL91" s="66">
        <f ca="1">AN61+AP64+AO64+AN64+AN72-AN88-AO88</f>
        <v>-2726595.303091628</v>
      </c>
      <c r="AM91" s="67" t="s">
        <v>123</v>
      </c>
      <c r="AN91" s="5">
        <f ca="1">'Development Proforma'!I121</f>
        <v>761078.98549764242</v>
      </c>
      <c r="AO91" s="5">
        <f ca="1">AL91-AN91</f>
        <v>-3487674.2885892703</v>
      </c>
      <c r="AV91" s="23"/>
    </row>
    <row r="92" spans="1:48" x14ac:dyDescent="0.2">
      <c r="AK92" s="5" t="s">
        <v>122</v>
      </c>
      <c r="AL92" s="5">
        <f ca="1">AL91+AN87</f>
        <v>-1965516.3175939857</v>
      </c>
      <c r="AM92" s="67" t="s">
        <v>123</v>
      </c>
      <c r="AN92" s="5">
        <f ca="1">'Development Proforma'!I119</f>
        <v>1522157.9709952848</v>
      </c>
      <c r="AO92" s="5">
        <f ca="1">AL92-AN92</f>
        <v>-3487674.2885892708</v>
      </c>
    </row>
    <row r="94" spans="1:48" x14ac:dyDescent="0.2">
      <c r="J94">
        <f ca="1">-('Development Proforma'!I100)</f>
        <v>-1665691.7945711743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f ca="1">'Development Proforma'!I120+'Development Proforma'!I117+'Development Proforma'!I100</f>
        <v>2648863.0193449734</v>
      </c>
    </row>
    <row r="99" spans="5:5" x14ac:dyDescent="0.2">
      <c r="E99">
        <f ca="1">XIRR(J94:AD94,J11:AD11,)</f>
        <v>0.32173513770103457</v>
      </c>
    </row>
  </sheetData>
  <mergeCells count="2">
    <mergeCell ref="K60:O60"/>
    <mergeCell ref="F1:H1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3C5B9-88B3-4B70-A778-37CC518A5443}">
  <dimension ref="A1:XFD39"/>
  <sheetViews>
    <sheetView zoomScale="75" workbookViewId="0">
      <selection activeCell="K63" sqref="K63:N63"/>
    </sheetView>
  </sheetViews>
  <sheetFormatPr baseColWidth="10" defaultColWidth="8.83203125" defaultRowHeight="15" x14ac:dyDescent="0.2"/>
  <cols>
    <col min="3" max="3" width="17.33203125" customWidth="1"/>
    <col min="4" max="4" width="13.1640625" customWidth="1"/>
    <col min="5" max="5" width="15.6640625" bestFit="1" customWidth="1"/>
    <col min="6" max="6" width="12" customWidth="1"/>
    <col min="7" max="7" width="13.1640625" customWidth="1"/>
    <col min="8" max="8" width="11.5" customWidth="1"/>
    <col min="9" max="9" width="14.5" customWidth="1"/>
    <col min="10" max="10" width="14.1640625" customWidth="1"/>
    <col min="11" max="11" width="20.5" customWidth="1"/>
    <col min="12" max="12" width="11.1640625" customWidth="1"/>
    <col min="13" max="13" width="14.5" customWidth="1"/>
    <col min="14" max="14" width="12" customWidth="1"/>
    <col min="15" max="15" width="14.83203125" customWidth="1"/>
    <col min="16" max="20" width="12.33203125" bestFit="1" customWidth="1"/>
    <col min="21" max="23" width="14.83203125" bestFit="1" customWidth="1"/>
    <col min="24" max="25" width="14.6640625" bestFit="1" customWidth="1"/>
    <col min="26" max="27" width="7.1640625" bestFit="1" customWidth="1"/>
    <col min="28" max="28" width="7" bestFit="1" customWidth="1"/>
    <col min="29" max="29" width="7.5" bestFit="1" customWidth="1"/>
    <col min="30" max="31" width="7" bestFit="1" customWidth="1"/>
    <col min="32" max="32" width="7.33203125" bestFit="1" customWidth="1"/>
    <col min="33" max="33" width="7.1640625" bestFit="1" customWidth="1"/>
    <col min="34" max="34" width="6.5" bestFit="1" customWidth="1"/>
    <col min="35" max="37" width="14.33203125" bestFit="1" customWidth="1"/>
    <col min="38" max="38" width="15.33203125" bestFit="1" customWidth="1"/>
    <col min="39" max="39" width="12" customWidth="1"/>
    <col min="40" max="40" width="8.6640625" customWidth="1"/>
  </cols>
  <sheetData>
    <row r="1" spans="1:49" ht="21" x14ac:dyDescent="0.2">
      <c r="A1" s="8" t="s">
        <v>92</v>
      </c>
      <c r="B1" s="8"/>
      <c r="C1" s="8"/>
      <c r="D1" s="8"/>
      <c r="E1" s="8"/>
      <c r="F1" s="106"/>
      <c r="G1" s="106"/>
      <c r="H1" s="106"/>
      <c r="I1" s="9"/>
      <c r="J1" s="10"/>
      <c r="K1" s="10"/>
      <c r="L1" s="11"/>
    </row>
    <row r="2" spans="1:49" x14ac:dyDescent="0.2">
      <c r="A2" s="29"/>
      <c r="B2" t="s">
        <v>18</v>
      </c>
      <c r="C2" t="str">
        <f>'Development Proforma'!C2</f>
        <v>Seseh Project</v>
      </c>
      <c r="G2" t="s">
        <v>21</v>
      </c>
      <c r="H2" s="5" t="s">
        <v>22</v>
      </c>
      <c r="R2" t="s">
        <v>174</v>
      </c>
    </row>
    <row r="3" spans="1:49" x14ac:dyDescent="0.2">
      <c r="A3" s="30"/>
      <c r="B3" t="s">
        <v>19</v>
      </c>
      <c r="C3" t="s">
        <v>20</v>
      </c>
      <c r="G3" t="s">
        <v>23</v>
      </c>
      <c r="H3" s="38" t="str">
        <f>'Development Proforma'!H3</f>
        <v>TBD</v>
      </c>
    </row>
    <row r="4" spans="1:49" ht="16" thickBot="1" x14ac:dyDescent="0.25">
      <c r="A4" s="29"/>
      <c r="H4" s="5"/>
      <c r="R4" t="s">
        <v>175</v>
      </c>
      <c r="S4" s="63">
        <f>(75/11)/100</f>
        <v>6.8181818181818177E-2</v>
      </c>
    </row>
    <row r="5" spans="1:49" ht="16" thickBot="1" x14ac:dyDescent="0.25">
      <c r="B5" s="1" t="s">
        <v>70</v>
      </c>
      <c r="K5" s="14"/>
      <c r="L5" s="15"/>
    </row>
    <row r="6" spans="1:49" x14ac:dyDescent="0.2">
      <c r="D6" s="40"/>
    </row>
    <row r="7" spans="1:49" x14ac:dyDescent="0.2">
      <c r="C7" s="89" t="s">
        <v>93</v>
      </c>
      <c r="D7" s="103">
        <f>'Inputs &amp; Assumptions'!C27</f>
        <v>0.65</v>
      </c>
    </row>
    <row r="8" spans="1:49" x14ac:dyDescent="0.2">
      <c r="C8" s="89" t="s">
        <v>94</v>
      </c>
      <c r="D8" s="103">
        <f>'Inputs &amp; Assumptions'!C28</f>
        <v>0.15</v>
      </c>
      <c r="F8" s="104" t="s">
        <v>173</v>
      </c>
      <c r="G8" s="89"/>
      <c r="H8" s="103">
        <v>0.1</v>
      </c>
    </row>
    <row r="9" spans="1:49" x14ac:dyDescent="0.2">
      <c r="C9" s="89" t="s">
        <v>98</v>
      </c>
      <c r="D9" s="89">
        <v>5</v>
      </c>
      <c r="E9" t="s">
        <v>162</v>
      </c>
      <c r="F9" s="104" t="s">
        <v>199</v>
      </c>
      <c r="G9" s="89"/>
      <c r="H9" s="105">
        <f>S4</f>
        <v>6.8181818181818177E-2</v>
      </c>
    </row>
    <row r="10" spans="1:49" x14ac:dyDescent="0.2">
      <c r="C10" s="89" t="s">
        <v>14</v>
      </c>
      <c r="D10" s="103">
        <f>'Inputs &amp; Assumptions'!C18</f>
        <v>0.05</v>
      </c>
      <c r="F10" s="56"/>
      <c r="H10" s="4"/>
    </row>
    <row r="11" spans="1:49" x14ac:dyDescent="0.2">
      <c r="C11" s="89" t="s">
        <v>169</v>
      </c>
      <c r="D11" s="103">
        <v>0.93</v>
      </c>
      <c r="F11" s="56"/>
      <c r="H11" s="4"/>
    </row>
    <row r="12" spans="1:49" x14ac:dyDescent="0.2">
      <c r="J12">
        <v>1</v>
      </c>
      <c r="K12">
        <v>2</v>
      </c>
      <c r="L12">
        <v>3</v>
      </c>
      <c r="M12">
        <v>4</v>
      </c>
      <c r="N12">
        <v>5</v>
      </c>
      <c r="O12">
        <v>6</v>
      </c>
      <c r="P12">
        <v>7</v>
      </c>
      <c r="Q12">
        <v>8</v>
      </c>
      <c r="R12">
        <v>9</v>
      </c>
      <c r="S12">
        <v>10</v>
      </c>
      <c r="T12">
        <v>11</v>
      </c>
      <c r="U12">
        <v>12</v>
      </c>
      <c r="V12">
        <v>13</v>
      </c>
      <c r="W12">
        <v>14</v>
      </c>
      <c r="X12">
        <v>15</v>
      </c>
      <c r="Y12">
        <v>16</v>
      </c>
      <c r="Z12">
        <v>17</v>
      </c>
      <c r="AA12">
        <v>18</v>
      </c>
      <c r="AB12">
        <v>19</v>
      </c>
      <c r="AC12">
        <v>20</v>
      </c>
      <c r="AD12">
        <v>21</v>
      </c>
      <c r="AE12">
        <v>22</v>
      </c>
      <c r="AF12">
        <v>23</v>
      </c>
      <c r="AG12">
        <v>24</v>
      </c>
      <c r="AH12">
        <v>25</v>
      </c>
      <c r="AI12">
        <v>26</v>
      </c>
      <c r="AJ12">
        <v>27</v>
      </c>
      <c r="AK12">
        <v>28</v>
      </c>
      <c r="AL12">
        <v>29</v>
      </c>
      <c r="AM12">
        <v>30</v>
      </c>
      <c r="AN12">
        <v>31</v>
      </c>
      <c r="AO12">
        <v>32</v>
      </c>
      <c r="AP12">
        <v>33</v>
      </c>
      <c r="AQ12">
        <v>34</v>
      </c>
      <c r="AR12">
        <v>35</v>
      </c>
      <c r="AS12">
        <v>36</v>
      </c>
      <c r="AU12" t="s">
        <v>87</v>
      </c>
      <c r="AW12" t="s">
        <v>88</v>
      </c>
    </row>
    <row r="13" spans="1:49" x14ac:dyDescent="0.2">
      <c r="J13" s="48">
        <f>'Cash Flow'!J11</f>
        <v>46054</v>
      </c>
      <c r="K13" s="48">
        <f>'Cash Flow'!K11</f>
        <v>46082</v>
      </c>
      <c r="L13" s="48">
        <f>'Cash Flow'!L11</f>
        <v>46113</v>
      </c>
      <c r="M13" s="48">
        <f>'Cash Flow'!M11</f>
        <v>46143</v>
      </c>
      <c r="N13" s="48">
        <f>'Cash Flow'!N11</f>
        <v>46174</v>
      </c>
      <c r="O13" s="48">
        <f>'Cash Flow'!O11</f>
        <v>46204</v>
      </c>
      <c r="P13" s="48">
        <f>'Cash Flow'!P11</f>
        <v>46235</v>
      </c>
      <c r="Q13" s="48">
        <f>'Cash Flow'!Q11</f>
        <v>46266</v>
      </c>
      <c r="R13" s="48">
        <f>'Cash Flow'!R11</f>
        <v>46296</v>
      </c>
      <c r="S13" s="48">
        <f>'Cash Flow'!S11</f>
        <v>46327</v>
      </c>
      <c r="T13" s="48">
        <f>'Cash Flow'!T11</f>
        <v>46357</v>
      </c>
      <c r="U13" s="48">
        <f>'Cash Flow'!U11</f>
        <v>46388</v>
      </c>
      <c r="V13" s="48">
        <f>'Cash Flow'!V11</f>
        <v>46419</v>
      </c>
      <c r="W13" s="48">
        <f>'Cash Flow'!W11</f>
        <v>46447</v>
      </c>
      <c r="X13" s="48">
        <f>'Cash Flow'!X11</f>
        <v>46478</v>
      </c>
      <c r="Y13" s="48">
        <f>'Cash Flow'!Y11</f>
        <v>46508</v>
      </c>
      <c r="Z13" s="48">
        <f>'Cash Flow'!Z11</f>
        <v>46539</v>
      </c>
      <c r="AA13" s="48">
        <f>'Cash Flow'!AA11</f>
        <v>46569</v>
      </c>
      <c r="AB13" s="48">
        <f>'Cash Flow'!AB11</f>
        <v>46600</v>
      </c>
      <c r="AC13" s="48">
        <f>'Cash Flow'!AC11</f>
        <v>46631</v>
      </c>
      <c r="AD13" s="48">
        <f>'Cash Flow'!AD11</f>
        <v>46661</v>
      </c>
      <c r="AE13" s="48">
        <f>'Cash Flow'!AE11</f>
        <v>46692</v>
      </c>
      <c r="AF13" s="48">
        <f>'Cash Flow'!AF11</f>
        <v>46722</v>
      </c>
      <c r="AG13" s="48">
        <f>'Cash Flow'!AG11</f>
        <v>46753</v>
      </c>
      <c r="AH13" s="48">
        <f>'Cash Flow'!AH11</f>
        <v>46784</v>
      </c>
      <c r="AI13" s="48">
        <f>'Cash Flow'!AI11</f>
        <v>46813</v>
      </c>
      <c r="AJ13" s="48">
        <f>'Cash Flow'!AJ11</f>
        <v>46844</v>
      </c>
      <c r="AK13" s="48">
        <f>'Cash Flow'!AK11</f>
        <v>46874</v>
      </c>
      <c r="AL13" s="48">
        <f>'Cash Flow'!AL11</f>
        <v>46905</v>
      </c>
      <c r="AM13" s="48">
        <f>'Cash Flow'!AM11</f>
        <v>46935</v>
      </c>
      <c r="AN13" s="48">
        <f>'Cash Flow'!AN11</f>
        <v>46966</v>
      </c>
      <c r="AO13" s="48">
        <f>'Cash Flow'!AO11</f>
        <v>46997</v>
      </c>
      <c r="AP13" s="48">
        <f>'Cash Flow'!AP11</f>
        <v>47027</v>
      </c>
      <c r="AQ13" s="48">
        <f>'Cash Flow'!AQ11</f>
        <v>47058</v>
      </c>
      <c r="AR13" s="48">
        <f>'Cash Flow'!AR11</f>
        <v>47088</v>
      </c>
      <c r="AS13" s="48">
        <f>'Cash Flow'!AS11</f>
        <v>47119</v>
      </c>
    </row>
    <row r="14" spans="1:49" ht="16" thickBot="1" x14ac:dyDescent="0.25">
      <c r="A14" s="42"/>
      <c r="B14" s="43" t="s">
        <v>95</v>
      </c>
      <c r="C14" s="44"/>
      <c r="D14" s="44"/>
      <c r="E14" s="44"/>
      <c r="F14" s="44"/>
      <c r="G14" s="44"/>
      <c r="H14" s="45"/>
      <c r="I14" s="44"/>
      <c r="J14" s="44"/>
      <c r="K14" s="44"/>
      <c r="L14" s="45"/>
      <c r="M14" s="44"/>
      <c r="N14" s="44"/>
      <c r="O14" s="44"/>
      <c r="P14" s="45"/>
      <c r="Q14" s="44"/>
      <c r="R14" s="44"/>
      <c r="S14" s="44"/>
      <c r="T14" s="45"/>
      <c r="U14" s="44"/>
      <c r="V14" s="44"/>
      <c r="W14" s="44"/>
      <c r="X14" s="45"/>
      <c r="Y14" s="44"/>
      <c r="Z14" s="44"/>
      <c r="AA14" s="44"/>
      <c r="AB14" s="45"/>
      <c r="AC14" s="44"/>
      <c r="AD14" s="44"/>
      <c r="AE14" s="44"/>
      <c r="AF14" s="45"/>
      <c r="AG14" s="44"/>
      <c r="AH14" s="44"/>
      <c r="AI14" s="44"/>
      <c r="AJ14" s="45"/>
      <c r="AK14" s="44"/>
      <c r="AL14" s="44"/>
      <c r="AM14" s="44"/>
      <c r="AN14" s="45"/>
      <c r="AO14" s="44"/>
      <c r="AP14" s="44"/>
      <c r="AQ14" s="44"/>
      <c r="AR14" s="45"/>
      <c r="AS14" s="44"/>
      <c r="AT14" s="41"/>
      <c r="AU14" s="41"/>
      <c r="AV14" s="41"/>
      <c r="AW14" s="41"/>
    </row>
    <row r="16" spans="1:49" ht="29.25" customHeight="1" x14ac:dyDescent="0.2">
      <c r="B16" s="56" t="s">
        <v>96</v>
      </c>
      <c r="D16" s="108" t="s">
        <v>198</v>
      </c>
      <c r="E16" s="108"/>
      <c r="F16" s="108"/>
      <c r="G16" s="108"/>
      <c r="H16" s="108"/>
      <c r="K16" s="81">
        <f ca="1">'Development Proforma'!I96</f>
        <v>2830587.3633235632</v>
      </c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I16" s="37">
        <v>0</v>
      </c>
      <c r="AJ16" s="37">
        <v>0</v>
      </c>
      <c r="AK16" s="37">
        <v>0.1</v>
      </c>
      <c r="AL16" s="37">
        <v>0.1</v>
      </c>
      <c r="AM16" s="37">
        <v>0.1</v>
      </c>
    </row>
    <row r="17" spans="1:39 16384:16384" x14ac:dyDescent="0.2">
      <c r="B17" s="56" t="s">
        <v>102</v>
      </c>
      <c r="D17" s="109" t="s">
        <v>99</v>
      </c>
      <c r="E17" s="109"/>
      <c r="F17" s="109"/>
      <c r="G17" s="109"/>
      <c r="H17" s="109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>
        <f>AI16*$E$31</f>
        <v>0</v>
      </c>
      <c r="AJ17" s="58">
        <f>AJ16*$E$31</f>
        <v>0</v>
      </c>
      <c r="AK17" s="58">
        <f>AK16*$E$31</f>
        <v>0</v>
      </c>
      <c r="AL17" s="58">
        <f>AL16*$E$31</f>
        <v>0</v>
      </c>
      <c r="AM17" s="58">
        <f>AM16*$E$31</f>
        <v>0</v>
      </c>
    </row>
    <row r="18" spans="1:39 16384:16384" x14ac:dyDescent="0.2">
      <c r="B18" s="56" t="s">
        <v>194</v>
      </c>
      <c r="D18" s="25"/>
      <c r="E18" s="25"/>
      <c r="F18" s="25"/>
      <c r="G18" s="25"/>
      <c r="H18" s="25"/>
      <c r="M18" s="91">
        <f ca="1">M19*M22</f>
        <v>21229.405224926726</v>
      </c>
      <c r="N18" s="91">
        <f ca="1">N19*N22</f>
        <v>14152.936816617817</v>
      </c>
      <c r="O18" s="91">
        <f t="shared" ref="O18:Y18" ca="1" si="0">O19*O22</f>
        <v>9649.7296476939646</v>
      </c>
      <c r="P18" s="91">
        <f t="shared" ca="1" si="0"/>
        <v>9649.7296476939646</v>
      </c>
      <c r="Q18" s="91">
        <f t="shared" ca="1" si="0"/>
        <v>9649.7296476939646</v>
      </c>
      <c r="R18" s="91">
        <f t="shared" ca="1" si="0"/>
        <v>9649.7296476939646</v>
      </c>
      <c r="S18" s="91">
        <f t="shared" ca="1" si="0"/>
        <v>9649.7296476939646</v>
      </c>
      <c r="T18" s="91">
        <f t="shared" ca="1" si="0"/>
        <v>9649.7296476939646</v>
      </c>
      <c r="U18" s="91">
        <f t="shared" ca="1" si="0"/>
        <v>9649.7296476939646</v>
      </c>
      <c r="V18" s="91">
        <f t="shared" ca="1" si="0"/>
        <v>9649.7296476939646</v>
      </c>
      <c r="W18" s="91">
        <f t="shared" ca="1" si="0"/>
        <v>9649.7296476939646</v>
      </c>
      <c r="X18" s="91">
        <f t="shared" ca="1" si="0"/>
        <v>9649.7296476939646</v>
      </c>
      <c r="Y18" s="91">
        <f t="shared" ca="1" si="0"/>
        <v>9649.7296476939646</v>
      </c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</row>
    <row r="19" spans="1:39 16384:16384" x14ac:dyDescent="0.2">
      <c r="B19" s="56" t="s">
        <v>97</v>
      </c>
      <c r="D19" s="109" t="s">
        <v>172</v>
      </c>
      <c r="E19" s="109"/>
      <c r="F19" s="109"/>
      <c r="G19" s="109"/>
      <c r="H19" s="109"/>
      <c r="K19" s="81"/>
      <c r="M19" s="91">
        <f ca="1">K16*D8</f>
        <v>424588.10449853446</v>
      </c>
      <c r="N19" s="91">
        <f ca="1">K16*H8</f>
        <v>283058.73633235635</v>
      </c>
      <c r="O19" s="92">
        <f ca="1">$K$16*$S$4</f>
        <v>192994.5929538793</v>
      </c>
      <c r="P19" s="92">
        <f t="shared" ref="P19:Y19" ca="1" si="1">$K$16*$S$4</f>
        <v>192994.5929538793</v>
      </c>
      <c r="Q19" s="92">
        <f t="shared" ca="1" si="1"/>
        <v>192994.5929538793</v>
      </c>
      <c r="R19" s="92">
        <f t="shared" ca="1" si="1"/>
        <v>192994.5929538793</v>
      </c>
      <c r="S19" s="92">
        <f t="shared" ca="1" si="1"/>
        <v>192994.5929538793</v>
      </c>
      <c r="T19" s="92">
        <f t="shared" ca="1" si="1"/>
        <v>192994.5929538793</v>
      </c>
      <c r="U19" s="92">
        <f t="shared" ca="1" si="1"/>
        <v>192994.5929538793</v>
      </c>
      <c r="V19" s="92">
        <f t="shared" ca="1" si="1"/>
        <v>192994.5929538793</v>
      </c>
      <c r="W19" s="92">
        <f t="shared" ca="1" si="1"/>
        <v>192994.5929538793</v>
      </c>
      <c r="X19" s="92">
        <f t="shared" ca="1" si="1"/>
        <v>192994.5929538793</v>
      </c>
      <c r="Y19" s="92">
        <f t="shared" ca="1" si="1"/>
        <v>192994.5929538793</v>
      </c>
      <c r="Z19" s="58"/>
      <c r="AA19" s="58"/>
      <c r="AB19" s="58"/>
      <c r="AC19" s="58"/>
      <c r="AD19" s="58"/>
      <c r="AE19" s="58"/>
      <c r="AF19" s="58"/>
      <c r="AG19" s="58"/>
      <c r="AH19" s="58"/>
      <c r="AI19" s="57">
        <f>$E$31*AI16*$D$8</f>
        <v>0</v>
      </c>
      <c r="AJ19" s="57">
        <f>$E$31*AJ16*$D$8</f>
        <v>0</v>
      </c>
      <c r="AK19" s="57">
        <f>$E$31*AK16*$D$8</f>
        <v>0</v>
      </c>
      <c r="AL19" s="57">
        <f>$E$31*AL16*$D$8</f>
        <v>0</v>
      </c>
      <c r="AM19" s="57">
        <f>$E$31*AM16*$D$8</f>
        <v>0</v>
      </c>
    </row>
    <row r="20" spans="1:39 16384:16384" x14ac:dyDescent="0.2">
      <c r="B20" s="56" t="s">
        <v>103</v>
      </c>
      <c r="D20" s="25"/>
      <c r="E20" s="25"/>
      <c r="F20" s="25"/>
      <c r="G20" s="25"/>
      <c r="H20" s="25"/>
      <c r="K20" s="81">
        <f ca="1">SUM(M20:Y20)</f>
        <v>2689057.9951573843</v>
      </c>
      <c r="M20" s="91">
        <f ca="1">M19-M18</f>
        <v>403358.69927360775</v>
      </c>
      <c r="N20" s="91">
        <f ca="1">N19-N18</f>
        <v>268905.7995157385</v>
      </c>
      <c r="O20" s="91">
        <f t="shared" ref="O20:Y20" ca="1" si="2">O19-O18</f>
        <v>183344.86330618535</v>
      </c>
      <c r="P20" s="91">
        <f t="shared" ca="1" si="2"/>
        <v>183344.86330618535</v>
      </c>
      <c r="Q20" s="91">
        <f t="shared" ca="1" si="2"/>
        <v>183344.86330618535</v>
      </c>
      <c r="R20" s="91">
        <f t="shared" ca="1" si="2"/>
        <v>183344.86330618535</v>
      </c>
      <c r="S20" s="91">
        <f t="shared" ca="1" si="2"/>
        <v>183344.86330618535</v>
      </c>
      <c r="T20" s="91">
        <f t="shared" ca="1" si="2"/>
        <v>183344.86330618535</v>
      </c>
      <c r="U20" s="91">
        <f t="shared" ca="1" si="2"/>
        <v>183344.86330618535</v>
      </c>
      <c r="V20" s="91">
        <f t="shared" ca="1" si="2"/>
        <v>183344.86330618535</v>
      </c>
      <c r="W20" s="91">
        <f t="shared" ca="1" si="2"/>
        <v>183344.86330618535</v>
      </c>
      <c r="X20" s="91">
        <f t="shared" ca="1" si="2"/>
        <v>183344.86330618535</v>
      </c>
      <c r="Y20" s="91">
        <f t="shared" ca="1" si="2"/>
        <v>183344.86330618535</v>
      </c>
      <c r="Z20" s="58"/>
      <c r="AA20" s="58"/>
      <c r="AB20" s="58"/>
      <c r="AC20" s="58"/>
      <c r="AD20" s="58"/>
      <c r="AE20" s="58"/>
      <c r="AF20" s="58"/>
      <c r="AG20" s="58"/>
      <c r="AH20" s="58"/>
      <c r="AI20" s="57"/>
      <c r="AJ20" s="57"/>
      <c r="AK20" s="57"/>
      <c r="AL20" s="57"/>
      <c r="AM20" s="57"/>
    </row>
    <row r="21" spans="1:39 16384:16384" ht="27" customHeight="1" x14ac:dyDescent="0.2">
      <c r="B21" s="56"/>
      <c r="D21" s="68"/>
      <c r="E21" s="68"/>
      <c r="F21" s="68"/>
      <c r="G21" s="68"/>
      <c r="H21" s="6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XFD21" s="59"/>
    </row>
    <row r="22" spans="1:39 16384:16384" x14ac:dyDescent="0.2">
      <c r="B22" s="56" t="s">
        <v>195</v>
      </c>
      <c r="M22" s="4">
        <f>$D$10</f>
        <v>0.05</v>
      </c>
      <c r="N22" s="4">
        <f>$D$10</f>
        <v>0.05</v>
      </c>
      <c r="O22" s="4">
        <f t="shared" ref="O22:Y22" si="3">$D$10</f>
        <v>0.05</v>
      </c>
      <c r="P22" s="4">
        <f t="shared" si="3"/>
        <v>0.05</v>
      </c>
      <c r="Q22" s="4">
        <f t="shared" si="3"/>
        <v>0.05</v>
      </c>
      <c r="R22" s="4">
        <f t="shared" si="3"/>
        <v>0.05</v>
      </c>
      <c r="S22" s="4">
        <f t="shared" si="3"/>
        <v>0.05</v>
      </c>
      <c r="T22" s="4">
        <f t="shared" si="3"/>
        <v>0.05</v>
      </c>
      <c r="U22" s="4">
        <f t="shared" si="3"/>
        <v>0.05</v>
      </c>
      <c r="V22" s="4">
        <f t="shared" si="3"/>
        <v>0.05</v>
      </c>
      <c r="W22" s="4">
        <f t="shared" si="3"/>
        <v>0.05</v>
      </c>
      <c r="X22" s="4">
        <f t="shared" si="3"/>
        <v>0.05</v>
      </c>
      <c r="Y22" s="4">
        <f t="shared" si="3"/>
        <v>0.05</v>
      </c>
      <c r="Z22" s="58"/>
      <c r="AA22" s="58"/>
      <c r="AB22" s="58"/>
      <c r="AC22" s="58"/>
      <c r="AD22" s="58"/>
      <c r="AE22" s="58"/>
      <c r="AF22" s="58"/>
      <c r="AG22" s="58"/>
      <c r="AH22" s="58"/>
      <c r="AI22" s="58">
        <f>$E$31*AI16*$D$10</f>
        <v>0</v>
      </c>
      <c r="AJ22" s="58">
        <f>$E$31*AJ16*$D$10</f>
        <v>0</v>
      </c>
      <c r="AK22" s="58">
        <f>$E$31*AK16*$D$10</f>
        <v>0</v>
      </c>
      <c r="AL22" s="58">
        <f>$E$31*AL16*$D$10</f>
        <v>0</v>
      </c>
      <c r="AM22" s="58">
        <f>$E$31*AM16*$D$10</f>
        <v>0</v>
      </c>
    </row>
    <row r="23" spans="1:39 16384:16384" x14ac:dyDescent="0.2"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</row>
    <row r="24" spans="1:39 16384:16384" x14ac:dyDescent="0.2"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</row>
    <row r="25" spans="1:39 16384:16384" x14ac:dyDescent="0.2">
      <c r="A25" t="e" cm="1" vm="1">
        <f t="array" aca="1" ref="A25" ca="1">'Cash Flow'!H6:X63</f>
        <v>#VALUE!</v>
      </c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</row>
    <row r="28" spans="1:39 16384:16384" x14ac:dyDescent="0.2">
      <c r="E28" s="57"/>
    </row>
    <row r="29" spans="1:39 16384:16384" x14ac:dyDescent="0.2">
      <c r="E29" s="71"/>
    </row>
    <row r="30" spans="1:39 16384:16384" x14ac:dyDescent="0.2">
      <c r="E30" s="57"/>
    </row>
    <row r="31" spans="1:39 16384:16384" x14ac:dyDescent="0.2">
      <c r="E31" s="57"/>
    </row>
    <row r="32" spans="1:39 16384:16384" x14ac:dyDescent="0.2">
      <c r="E32" s="57"/>
    </row>
    <row r="34" spans="3:9" x14ac:dyDescent="0.2">
      <c r="C34" s="89" t="s">
        <v>182</v>
      </c>
      <c r="D34" s="89" t="s">
        <v>146</v>
      </c>
      <c r="E34" s="89" t="s">
        <v>186</v>
      </c>
      <c r="F34" s="89" t="s">
        <v>187</v>
      </c>
      <c r="G34" s="89" t="s">
        <v>188</v>
      </c>
      <c r="H34" s="89" t="s">
        <v>189</v>
      </c>
      <c r="I34" s="89" t="s">
        <v>191</v>
      </c>
    </row>
    <row r="35" spans="3:9" x14ac:dyDescent="0.2">
      <c r="C35" s="89" t="s">
        <v>183</v>
      </c>
      <c r="D35" s="89">
        <v>13</v>
      </c>
      <c r="E35" s="89">
        <v>180</v>
      </c>
      <c r="F35" s="89">
        <f>E35*D35</f>
        <v>2340</v>
      </c>
      <c r="G35" s="90">
        <f>H35/E35</f>
        <v>1638.8888888888889</v>
      </c>
      <c r="H35" s="90">
        <v>295000</v>
      </c>
      <c r="I35" s="90">
        <f>H35*D35</f>
        <v>3835000</v>
      </c>
    </row>
    <row r="36" spans="3:9" x14ac:dyDescent="0.2">
      <c r="C36" s="89" t="s">
        <v>184</v>
      </c>
      <c r="D36" s="89">
        <v>4</v>
      </c>
      <c r="E36" s="89">
        <v>180</v>
      </c>
      <c r="F36" s="89">
        <f>E36*D36</f>
        <v>720</v>
      </c>
      <c r="G36" s="90">
        <f t="shared" ref="G36:G37" si="4">H36/E36</f>
        <v>1944.4444444444443</v>
      </c>
      <c r="H36" s="90">
        <v>350000</v>
      </c>
      <c r="I36" s="90">
        <f t="shared" ref="I36:I37" si="5">H36*D36</f>
        <v>1400000</v>
      </c>
    </row>
    <row r="37" spans="3:9" x14ac:dyDescent="0.2">
      <c r="C37" s="89" t="s">
        <v>185</v>
      </c>
      <c r="D37" s="89">
        <v>3</v>
      </c>
      <c r="E37" s="89">
        <v>210</v>
      </c>
      <c r="F37" s="89">
        <f>E37*D37</f>
        <v>630</v>
      </c>
      <c r="G37" s="90">
        <f t="shared" si="4"/>
        <v>1880.952380952381</v>
      </c>
      <c r="H37" s="90">
        <v>395000</v>
      </c>
      <c r="I37" s="90">
        <f t="shared" si="5"/>
        <v>1185000</v>
      </c>
    </row>
    <row r="38" spans="3:9" x14ac:dyDescent="0.2">
      <c r="G38" s="81"/>
      <c r="H38" s="81"/>
      <c r="I38" s="81"/>
    </row>
    <row r="39" spans="3:9" x14ac:dyDescent="0.2">
      <c r="C39" s="89" t="s">
        <v>87</v>
      </c>
      <c r="D39" s="89">
        <f>SUM(D35:D37)</f>
        <v>20</v>
      </c>
      <c r="E39" s="89"/>
      <c r="F39" s="89">
        <f>SUM(F35:F37)</f>
        <v>3690</v>
      </c>
      <c r="G39" s="90"/>
      <c r="H39" s="90"/>
      <c r="I39" s="90">
        <f>SUM(I35:I37)</f>
        <v>6420000</v>
      </c>
    </row>
  </sheetData>
  <mergeCells count="4">
    <mergeCell ref="F1:H1"/>
    <mergeCell ref="D16:H16"/>
    <mergeCell ref="D17:H17"/>
    <mergeCell ref="D19:H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D17BF02F1F5B48AB72290691FCCA8E" ma:contentTypeVersion="16" ma:contentTypeDescription="Create a new document." ma:contentTypeScope="" ma:versionID="8c9abfb10cc2308c8ad61b2fe0cf68c4">
  <xsd:schema xmlns:xsd="http://www.w3.org/2001/XMLSchema" xmlns:xs="http://www.w3.org/2001/XMLSchema" xmlns:p="http://schemas.microsoft.com/office/2006/metadata/properties" xmlns:ns2="81ab590b-837d-4a2e-a5f3-e6339220bc32" xmlns:ns3="8aef9834-816c-462d-beb5-1bd0bad9b197" targetNamespace="http://schemas.microsoft.com/office/2006/metadata/properties" ma:root="true" ma:fieldsID="e5c6face4ad2a33a674f34c6c0f83859" ns2:_="" ns3:_="">
    <xsd:import namespace="81ab590b-837d-4a2e-a5f3-e6339220bc32"/>
    <xsd:import namespace="8aef9834-816c-462d-beb5-1bd0bad9b1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Cimarron_x002d_GreenHavenLotMap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ab590b-837d-4a2e-a5f3-e6339220bc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cd7476f-0969-4b51-9e36-a46042d90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imarron_x002d_GreenHavenLotMaps" ma:index="23" nillable="true" ma:displayName="Cimarron - Green Haven Lot Maps" ma:format="Dropdown" ma:internalName="Cimarron_x002d_GreenHavenLotMap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f9834-816c-462d-beb5-1bd0bad9b19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11c8383-3d5e-45c8-8afc-75bd49d12187}" ma:internalName="TaxCatchAll" ma:showField="CatchAllData" ma:web="8aef9834-816c-462d-beb5-1bd0bad9b1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1ab590b-837d-4a2e-a5f3-e6339220bc32">
      <Terms xmlns="http://schemas.microsoft.com/office/infopath/2007/PartnerControls"/>
    </lcf76f155ced4ddcb4097134ff3c332f>
    <TaxCatchAll xmlns="8aef9834-816c-462d-beb5-1bd0bad9b197" xsi:nil="true"/>
    <Cimarron_x002d_GreenHavenLotMaps xmlns="81ab590b-837d-4a2e-a5f3-e6339220bc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C147081-1105-4977-A718-DB10F4ADB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ab590b-837d-4a2e-a5f3-e6339220bc32"/>
    <ds:schemaRef ds:uri="8aef9834-816c-462d-beb5-1bd0bad9b1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072926-F2C9-4CF1-9CF8-FCFD86511F7F}">
  <ds:schemaRefs>
    <ds:schemaRef ds:uri="http://schemas.microsoft.com/office/2006/metadata/properties"/>
    <ds:schemaRef ds:uri="http://schemas.microsoft.com/office/infopath/2007/PartnerControls"/>
    <ds:schemaRef ds:uri="81ab590b-837d-4a2e-a5f3-e6339220bc32"/>
    <ds:schemaRef ds:uri="8aef9834-816c-462d-beb5-1bd0bad9b197"/>
  </ds:schemaRefs>
</ds:datastoreItem>
</file>

<file path=customXml/itemProps3.xml><?xml version="1.0" encoding="utf-8"?>
<ds:datastoreItem xmlns:ds="http://schemas.openxmlformats.org/officeDocument/2006/customXml" ds:itemID="{D8A7E090-61C7-4507-B6DF-C9B21F79D4D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Project Summary</vt:lpstr>
      <vt:lpstr>Inputs &amp; Assumptions</vt:lpstr>
      <vt:lpstr>Development Proforma</vt:lpstr>
      <vt:lpstr>Cash Flow</vt:lpstr>
      <vt:lpstr>Sales Detail</vt:lpstr>
      <vt:lpstr>'Development Proforma'!Print_Area</vt:lpstr>
      <vt:lpstr>'Development Proforma'!Print_Titles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Buckett</dc:creator>
  <cp:lastModifiedBy>ben.ripped@icloud.com</cp:lastModifiedBy>
  <cp:lastPrinted>2025-03-26T20:53:55Z</cp:lastPrinted>
  <dcterms:created xsi:type="dcterms:W3CDTF">2023-07-12T16:08:46Z</dcterms:created>
  <dcterms:modified xsi:type="dcterms:W3CDTF">2026-01-16T02:52:47Z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0x010100E1D17BF02F1F5B48AB72290691FCCA8E</vt:lpwstr>
  </property>
  <property fmtid="{D5CDD505-2E9C-101B-9397-08002B2CF9AE}" pid="3" name="MediaServiceImageTags">
    <vt:lpwstr/>
  </property>
</Properties>
</file>